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saveExternalLinkValues="0" codeName="DieseArbeitsmappe"/>
  <mc:AlternateContent xmlns:mc="http://schemas.openxmlformats.org/markup-compatibility/2006">
    <mc:Choice Requires="x15">
      <x15ac:absPath xmlns:x15ac="http://schemas.microsoft.com/office/spreadsheetml/2010/11/ac" url="F:\Persönlich\Burkhard Heim\Protosimplex\massformula89\massformula89\"/>
    </mc:Choice>
  </mc:AlternateContent>
  <xr:revisionPtr revIDLastSave="0" documentId="13_ncr:1_{C3489EE1-47E3-4435-8366-4B468D940949}" xr6:coauthVersionLast="43" xr6:coauthVersionMax="43" xr10:uidLastSave="{00000000-0000-0000-0000-000000000000}"/>
  <bookViews>
    <workbookView xWindow="-120" yWindow="-120" windowWidth="29040" windowHeight="15840" tabRatio="626" firstSheet="1" activeTab="1" xr2:uid="{00000000-000D-0000-FFFF-FFFF00000000}"/>
  </bookViews>
  <sheets>
    <sheet name="Anleitung" sheetId="4" r:id="rId1"/>
    <sheet name="Konstante" sheetId="1" r:id="rId2"/>
    <sheet name="Elementarteilchen" sheetId="5" r:id="rId3"/>
    <sheet name="Tabellen" sheetId="7" r:id="rId4"/>
    <sheet name="Vergleich" sheetId="9" r:id="rId5"/>
    <sheet name="Massen-Vergleich" sheetId="11" r:id="rId6"/>
    <sheet name="Lebenszeiten-Vergleich" sheetId="12" r:id="rId7"/>
    <sheet name="Changelog" sheetId="6" r:id="rId8"/>
    <sheet name="Koeffizientenmatrix Aik 1982" sheetId="2" r:id="rId9"/>
  </sheets>
  <definedNames>
    <definedName name="_alf1">Elementarteilchen!$D$64</definedName>
    <definedName name="_alf2">Elementarteilchen!$D$66</definedName>
    <definedName name="_alf3">Elementarteilchen!$D$68</definedName>
    <definedName name="_c">Konstante!$E$64</definedName>
    <definedName name="_eta01">Konstante!$C$14</definedName>
    <definedName name="_eta1">Konstante!$C$14</definedName>
    <definedName name="_eta11">Konstante!$C$15</definedName>
    <definedName name="_eta12">Konstante!$C$16</definedName>
    <definedName name="_eta21">Konstante!$C$16</definedName>
    <definedName name="_eta22">Konstante!$C$17</definedName>
    <definedName name="_NN1">Elementarteilchen!$D$65</definedName>
    <definedName name="_NN2">Elementarteilchen!$D$67</definedName>
    <definedName name="_NN3">Elementarteilchen!$D$69</definedName>
    <definedName name="_NN4">Elementarteilchen!$D$71</definedName>
    <definedName name="_NN5">Elementarteilchen!$D$75</definedName>
    <definedName name="_NN6">Elementarteilchen!$D$76</definedName>
    <definedName name="_wx1">Elementarteilchen!$D$107</definedName>
    <definedName name="_wx2">Elementarteilchen!$D$108</definedName>
    <definedName name="A">Elementarteilchen!$D$100</definedName>
    <definedName name="a..1">Elementarteilchen!$D$81</definedName>
    <definedName name="a..2">Elementarteilchen!$D$89</definedName>
    <definedName name="a..3">Elementarteilchen!$D$98</definedName>
    <definedName name="a.1">Elementarteilchen!$H$219</definedName>
    <definedName name="a.11">'Koeffizientenmatrix Aik 1982'!$A$7</definedName>
    <definedName name="a.12">'Koeffizientenmatrix Aik 1982'!$B$7</definedName>
    <definedName name="a.13">'Koeffizientenmatrix Aik 1982'!$C$7</definedName>
    <definedName name="a.14">'Koeffizientenmatrix Aik 1982'!$D$7</definedName>
    <definedName name="a.15">'Koeffizientenmatrix Aik 1982'!$E$7</definedName>
    <definedName name="a.16">'Koeffizientenmatrix Aik 1982'!$F$7</definedName>
    <definedName name="a.2">Elementarteilchen!$H$220</definedName>
    <definedName name="a.21">'Koeffizientenmatrix Aik 1982'!$A$8</definedName>
    <definedName name="a.22">'Koeffizientenmatrix Aik 1982'!$B$8</definedName>
    <definedName name="a.23">'Koeffizientenmatrix Aik 1982'!$C$8</definedName>
    <definedName name="a.24">'Koeffizientenmatrix Aik 1982'!$D$8</definedName>
    <definedName name="a.25">'Koeffizientenmatrix Aik 1982'!$E$8</definedName>
    <definedName name="a.26">'Koeffizientenmatrix Aik 1982'!$F$8</definedName>
    <definedName name="a.3">Elementarteilchen!$H$221</definedName>
    <definedName name="a.31">'Koeffizientenmatrix Aik 1982'!$A$9</definedName>
    <definedName name="a.32">'Koeffizientenmatrix Aik 1982'!$B$9</definedName>
    <definedName name="a.33">'Koeffizientenmatrix Aik 1982'!$C$9</definedName>
    <definedName name="a.34">'Koeffizientenmatrix Aik 1982'!$D$9</definedName>
    <definedName name="a.35">'Koeffizientenmatrix Aik 1982'!$E$9</definedName>
    <definedName name="a.36">'Koeffizientenmatrix Aik 1982'!$F$9</definedName>
    <definedName name="a.389">Elementarteilchen!$D$221</definedName>
    <definedName name="a.41">'Koeffizientenmatrix Aik 1982'!$A$10</definedName>
    <definedName name="a.42">'Koeffizientenmatrix Aik 1982'!$B$10</definedName>
    <definedName name="a.43">'Koeffizientenmatrix Aik 1982'!$C$10</definedName>
    <definedName name="a.44">'Koeffizientenmatrix Aik 1982'!$D$10</definedName>
    <definedName name="a.45">'Koeffizientenmatrix Aik 1982'!$E$10</definedName>
    <definedName name="a.46">'Koeffizientenmatrix Aik 1982'!$F$10</definedName>
    <definedName name="a.51">'Koeffizientenmatrix Aik 1982'!$A$11</definedName>
    <definedName name="a.52">'Koeffizientenmatrix Aik 1982'!$B$11</definedName>
    <definedName name="a.53">'Koeffizientenmatrix Aik 1982'!$C$11</definedName>
    <definedName name="a.54">'Koeffizientenmatrix Aik 1982'!$D$11</definedName>
    <definedName name="a.55">'Koeffizientenmatrix Aik 1982'!$E$11</definedName>
    <definedName name="a.56">'Koeffizientenmatrix Aik 1982'!$F$11</definedName>
    <definedName name="a.61">'Koeffizientenmatrix Aik 1982'!$A$12</definedName>
    <definedName name="a.62">'Koeffizientenmatrix Aik 1982'!$B$12</definedName>
    <definedName name="a.63">'Koeffizientenmatrix Aik 1982'!$C$12</definedName>
    <definedName name="a.64">'Koeffizientenmatrix Aik 1982'!$D$12</definedName>
    <definedName name="a.65">'Koeffizientenmatrix Aik 1982'!$E$12</definedName>
    <definedName name="a.66">'Koeffizientenmatrix Aik 1982'!$F$12</definedName>
    <definedName name="A.n">Elementarteilchen!$D$74</definedName>
    <definedName name="a1.10">Elementarteilchen!$D$78</definedName>
    <definedName name="a1.11">Elementarteilchen!$D$79</definedName>
    <definedName name="a1.12">Elementarteilchen!$D$80</definedName>
    <definedName name="a2.20">Elementarteilchen!$D$83</definedName>
    <definedName name="a2.21">Elementarteilchen!$D$84</definedName>
    <definedName name="a2.22">Elementarteilchen!$D$88</definedName>
    <definedName name="a2.221">Elementarteilchen!$D$85</definedName>
    <definedName name="a2.222">Elementarteilchen!$D$86</definedName>
    <definedName name="a2.223">Elementarteilchen!$D$87</definedName>
    <definedName name="ag">Elementarteilchen!$D$120</definedName>
    <definedName name="agx">Elementarteilchen!$H$120</definedName>
    <definedName name="alf3o">Elementarteilchen!$H$68</definedName>
    <definedName name="alfa">Elementarteilchen!$D$10</definedName>
    <definedName name="alfm">Konstante!$C$26</definedName>
    <definedName name="alfmn">Konstante!$E$26</definedName>
    <definedName name="alfp">Konstante!$C$25</definedName>
    <definedName name="alfpn">Konstante!$E$25</definedName>
    <definedName name="amu">Konstante!$E$88</definedName>
    <definedName name="an">Elementarteilchen!$D$115</definedName>
    <definedName name="aq">Elementarteilchen!$D$116</definedName>
    <definedName name="B">Elementarteilchen!$D$49</definedName>
    <definedName name="b.1">Elementarteilchen!$D$188</definedName>
    <definedName name="b.2">Elementarteilchen!$D$187</definedName>
    <definedName name="beta">Elementarteilchen!$D$11</definedName>
    <definedName name="beta0">Elementarteilchen!$D$185</definedName>
    <definedName name="bg">Elementarteilchen!$D$118</definedName>
    <definedName name="bgx">Elementarteilchen!$H$118</definedName>
    <definedName name="C.">Elementarteilchen!$D$117</definedName>
    <definedName name="cs">Elementarteilchen!$D$30</definedName>
    <definedName name="D">Elementarteilchen!$D$186</definedName>
    <definedName name="da">Elementarteilchen!$H$226</definedName>
    <definedName name="da.89">Elementarteilchen!$D$226</definedName>
    <definedName name="deltaN">Elementarteilchen!$D$130</definedName>
    <definedName name="e0">Konstante!$C$68</definedName>
    <definedName name="ebn">Konstante!$C$6</definedName>
    <definedName name="eps" localSheetId="2">Elementarteilchen!$D$7</definedName>
    <definedName name="epsp">Elementarteilchen!$D$28</definedName>
    <definedName name="epsq">Elementarteilchen!$D$29</definedName>
    <definedName name="eta">Konstante!$C$14</definedName>
    <definedName name="eta1k">Elementarteilchen!$D$55</definedName>
    <definedName name="etaq1">Elementarteilchen!$D$56</definedName>
    <definedName name="etaqk">Elementarteilchen!$D$54</definedName>
    <definedName name="F">Elementarteilchen!$D$190</definedName>
    <definedName name="fakMeV">Konstante!$E$79</definedName>
    <definedName name="Fi">Elementarteilchen!$H$165</definedName>
    <definedName name="fi.">Elementarteilchen!$D$163</definedName>
    <definedName name="fik">Elementarteilchen!$H$166</definedName>
    <definedName name="fn">Elementarteilchen!$H$121</definedName>
    <definedName name="fn.89">Elementarteilchen!$D$121</definedName>
    <definedName name="g">Elementarteilchen!$D$103</definedName>
    <definedName name="ga.1">Konstante!#REF!</definedName>
    <definedName name="gamma">Konstante!$E$77</definedName>
    <definedName name="gkq">Elementarteilchen!$H$103</definedName>
    <definedName name="H">Elementarteilchen!$D$48</definedName>
    <definedName name="hq">Konstante!$E$76</definedName>
    <definedName name="is">Elementarteilchen!$D$43</definedName>
    <definedName name="k">Elementarteilchen!$D$18</definedName>
    <definedName name="k.1">Elementarteilchen!$H$134</definedName>
    <definedName name="k.2">Elementarteilchen!$H$137</definedName>
    <definedName name="k.3">Elementarteilchen!$H$148</definedName>
    <definedName name="k.3v">Elementarteilchen!$H$140</definedName>
    <definedName name="k.4">Elementarteilchen!$H$150</definedName>
    <definedName name="k.4v">Elementarteilchen!$H$144</definedName>
    <definedName name="k.m">Elementarteilchen!$D$137</definedName>
    <definedName name="k.n">Elementarteilchen!$D$134</definedName>
    <definedName name="k.p">Elementarteilchen!$D$140</definedName>
    <definedName name="k.sigv">Elementarteilchen!$D$144</definedName>
    <definedName name="kappa">Elementarteilchen!$D$21</definedName>
    <definedName name="kgh">Elementarteilchen!$H$171</definedName>
    <definedName name="kghfig">Elementarteilchen!$H$214</definedName>
    <definedName name="kghfig89">Elementarteilchen!$D$214</definedName>
    <definedName name="kq">Elementarteilchen!$D$36</definedName>
    <definedName name="L">Elementarteilchen!$D$101</definedName>
    <definedName name="L.1">Elementarteilchen!$H$215</definedName>
    <definedName name="L.189">Elementarteilchen!$D$215</definedName>
    <definedName name="L.2">Elementarteilchen!$H$231</definedName>
    <definedName name="L.289">Elementarteilchen!$D$231</definedName>
    <definedName name="L.3">Elementarteilchen!$H$232</definedName>
    <definedName name="L.389">Elementarteilchen!$D$232</definedName>
    <definedName name="L.4">Elementarteilchen!$H$233</definedName>
    <definedName name="L.489">Elementarteilchen!$D$233</definedName>
    <definedName name="Lsigma">Elementarteilchen!$D$200</definedName>
    <definedName name="mass89">Elementarteilchen!$D$174</definedName>
    <definedName name="mFin">Elementarteilchen!$D$165</definedName>
    <definedName name="mFn">Elementarteilchen!$D$164</definedName>
    <definedName name="mG">Elementarteilchen!$H$160</definedName>
    <definedName name="mGn">Elementarteilchen!$D$160</definedName>
    <definedName name="mH">Elementarteilchen!$H$164</definedName>
    <definedName name="mK">Elementarteilchen!$H$159</definedName>
    <definedName name="mSn">Elementarteilchen!$D$159</definedName>
    <definedName name="my0">Konstante!$C$67</definedName>
    <definedName name="N">Elementarteilchen!$D$24</definedName>
    <definedName name="n.1">Elementarteilchen!$H$135</definedName>
    <definedName name="n.2">Elementarteilchen!$H$138</definedName>
    <definedName name="n.3">Elementarteilchen!$H$149</definedName>
    <definedName name="n.3v">Elementarteilchen!$H$141</definedName>
    <definedName name="n.4">Elementarteilchen!$H$151</definedName>
    <definedName name="n.4v">Elementarteilchen!$H$145</definedName>
    <definedName name="N.k">Elementarteilchen!$D$73</definedName>
    <definedName name="n.m">Elementarteilchen!$D$138</definedName>
    <definedName name="n.n">Elementarteilchen!$D$135</definedName>
    <definedName name="n.p">Elementarteilchen!$D$141</definedName>
    <definedName name="n.sigma">Elementarteilchen!$D$145</definedName>
    <definedName name="Nk">Elementarteilchen!$D$72</definedName>
    <definedName name="OffsetK">Elementarteilchen!$G$128</definedName>
    <definedName name="OffsetN3">Elementarteilchen!$F$128</definedName>
    <definedName name="P">Elementarteilchen!$D$19</definedName>
    <definedName name="P..2">Elementarteilchen!$D$59</definedName>
    <definedName name="P..3">Elementarteilchen!$D$60</definedName>
    <definedName name="pi">Konstante!$C$5</definedName>
    <definedName name="Q">Elementarteilchen!$D$20</definedName>
    <definedName name="Q..3">Elementarteilchen!$D$61</definedName>
    <definedName name="q.1">Elementarteilchen!$D$44</definedName>
    <definedName name="q.2">Elementarteilchen!$D$45</definedName>
    <definedName name="q.3">Elementarteilchen!$D$46</definedName>
    <definedName name="q.4">Elementarteilchen!$D$47</definedName>
    <definedName name="qa">Elementarteilchen!$H$224</definedName>
    <definedName name="qx">Elementarteilchen!$D$35</definedName>
    <definedName name="ra">Elementarteilchen!$H$225</definedName>
    <definedName name="ra.89">Elementarteilchen!$D$225</definedName>
    <definedName name="Rg">Konstante!$E$63</definedName>
    <definedName name="s.">Elementarteilchen!$D$189</definedName>
    <definedName name="s0">Konstante!$E$58</definedName>
    <definedName name="sa">Elementarteilchen!$H$229</definedName>
    <definedName name="sa.89">Elementarteilchen!$D$229</definedName>
    <definedName name="ta">Elementarteilchen!$H$230</definedName>
    <definedName name="ta.89">Elementarteilchen!$D$230</definedName>
    <definedName name="Table1">Tabellen!$B$6:$K$44</definedName>
    <definedName name="Table10">Tabellen!$S$89:$U$92</definedName>
    <definedName name="Table11">Tabellen!$S$97:$U$100</definedName>
    <definedName name="Table1c">Tabellen!$P$6:$P$39</definedName>
    <definedName name="Table1d">Tabellen!$Q$6:$Q$39</definedName>
    <definedName name="Table2">Tabellen!$S$6:$X$11</definedName>
    <definedName name="Table4">Tabellen!$S$33:$U$37</definedName>
    <definedName name="Table5">Tabellen!$S$43:$U$48</definedName>
    <definedName name="table6">Tabellen!$S$54:$U$57</definedName>
    <definedName name="Table7">Tabellen!$S$63:$U$66</definedName>
    <definedName name="Table8">Tabellen!$S$72:$U$75</definedName>
    <definedName name="Table9">Tabellen!$S$81:$V$84</definedName>
    <definedName name="TableEmp">Tabellen!$M$6:$N$39</definedName>
    <definedName name="TableEmpCODATA2014">Tabellen!$AA$6:$AC$39</definedName>
    <definedName name="TableEmpTimes">Tabellen!$AD$6:$AF$39</definedName>
    <definedName name="TableGamma">Tabellen!$S$17:$Y$27</definedName>
    <definedName name="temp1">Elementarteilchen!$H$236</definedName>
    <definedName name="temp189">Elementarteilchen!$D$236</definedName>
    <definedName name="temp2">Elementarteilchen!$H$237</definedName>
    <definedName name="theta">Konstante!$C$19</definedName>
    <definedName name="theta11">Konstante!$C$20</definedName>
    <definedName name="theta12">Konstante!$C$21</definedName>
    <definedName name="theta22">Konstante!$C$22</definedName>
    <definedName name="thetaq1">Elementarteilchen!$D$57</definedName>
    <definedName name="u">Elementarteilchen!$D$58</definedName>
    <definedName name="U.">Elementarteilchen!$D$162</definedName>
    <definedName name="w.1">Elementarteilchen!$H$133</definedName>
    <definedName name="w.2">Elementarteilchen!$H$136</definedName>
    <definedName name="w.3">Elementarteilchen!$H$139</definedName>
    <definedName name="w.4">Elementarteilchen!$H$143</definedName>
    <definedName name="wgx">Elementarteilchen!$D$110</definedName>
    <definedName name="wgxk">Elementarteilchen!$D$109</definedName>
    <definedName name="WN.0">Elementarteilchen!$D$104</definedName>
    <definedName name="wn.0N">Elementarteilchen!$D$131</definedName>
    <definedName name="wn.1">Elementarteilchen!$D$133</definedName>
    <definedName name="wn.2">Elementarteilchen!$D$136</definedName>
    <definedName name="wn.3">Elementarteilchen!$D$139</definedName>
    <definedName name="x">Elementarteilchen!$D$22</definedName>
    <definedName name="X.">Elementarteilchen!$D$119</definedName>
    <definedName name="x..">Elementarteilchen!$D$102</definedName>
    <definedName name="xi">Konstante!$C$12</definedName>
    <definedName name="y">Elementarteilchen!$D$97</definedName>
    <definedName name="y.">Elementarteilchen!$D$191</definedName>
    <definedName name="y.1">Elementarteilchen!$D$91</definedName>
    <definedName name="y.2">Elementarteilchen!$D$96</definedName>
    <definedName name="y.20">Elementarteilchen!$D$92</definedName>
    <definedName name="y.21">Elementarteilchen!$D$93</definedName>
    <definedName name="y.22">Elementarteilchen!$D$94</definedName>
    <definedName name="y.23">Elementarteilchen!$D$95</definedName>
    <definedName name="z.">Elementarteilchen!$D$161</definedName>
    <definedName name="zzzzzz">Konstante!#REF!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3" i="5" l="1"/>
  <c r="H3" i="9" s="1"/>
  <c r="F175" i="5"/>
  <c r="D3" i="9" s="1"/>
  <c r="D193" i="5" l="1"/>
  <c r="G3" i="9" s="1"/>
  <c r="E193" i="5"/>
  <c r="D175" i="5" l="1"/>
  <c r="E68" i="1"/>
  <c r="E67" i="1"/>
  <c r="U90" i="7"/>
  <c r="C67" i="1" s="1"/>
  <c r="C3" i="9" l="1"/>
  <c r="U98" i="7"/>
  <c r="C68" i="1" s="1"/>
  <c r="E70" i="1" s="1"/>
  <c r="U33" i="7" s="1"/>
  <c r="E64" i="1" s="1"/>
  <c r="V11" i="7"/>
  <c r="X11" i="7" s="1"/>
  <c r="W11" i="7"/>
  <c r="D9" i="5"/>
  <c r="D17" i="5"/>
  <c r="D18" i="5"/>
  <c r="D55" i="5" s="1"/>
  <c r="D19" i="5"/>
  <c r="D20" i="5"/>
  <c r="D61" i="5" s="1"/>
  <c r="D21" i="5"/>
  <c r="D22" i="5"/>
  <c r="C25" i="5"/>
  <c r="F128" i="5"/>
  <c r="G128" i="5"/>
  <c r="H128" i="5"/>
  <c r="D130" i="5"/>
  <c r="E175" i="5"/>
  <c r="D214" i="5"/>
  <c r="H214" i="5"/>
  <c r="D224" i="5"/>
  <c r="H224" i="5"/>
  <c r="E12" i="2"/>
  <c r="C5" i="1"/>
  <c r="C6" i="1"/>
  <c r="C12" i="1"/>
  <c r="C15" i="1"/>
  <c r="C20" i="1" s="1"/>
  <c r="C16" i="1"/>
  <c r="C21" i="1" s="1"/>
  <c r="C17" i="1"/>
  <c r="C22" i="1" s="1"/>
  <c r="F63" i="1"/>
  <c r="F64" i="1"/>
  <c r="E76" i="1"/>
  <c r="F76" i="1"/>
  <c r="E77" i="1"/>
  <c r="F77" i="1"/>
  <c r="E78" i="1"/>
  <c r="E79" i="1"/>
  <c r="F79" i="1"/>
  <c r="F88" i="1"/>
  <c r="W7" i="7"/>
  <c r="X7" i="7"/>
  <c r="W8" i="7"/>
  <c r="X8" i="7"/>
  <c r="W9" i="7"/>
  <c r="X9" i="7"/>
  <c r="E71" i="1" l="1"/>
  <c r="U43" i="7" s="1"/>
  <c r="E63" i="1" s="1"/>
  <c r="A3" i="9"/>
  <c r="E85" i="1"/>
  <c r="U54" i="7" s="1"/>
  <c r="E88" i="1" s="1"/>
  <c r="C14" i="1"/>
  <c r="F12" i="2" s="1"/>
  <c r="C261" i="5"/>
  <c r="D60" i="5"/>
  <c r="D43" i="5"/>
  <c r="D161" i="5"/>
  <c r="D59" i="5"/>
  <c r="D101" i="5"/>
  <c r="D58" i="5"/>
  <c r="D31" i="5"/>
  <c r="H237" i="5"/>
  <c r="E11" i="2"/>
  <c r="C10" i="2"/>
  <c r="D28" i="5" l="1"/>
  <c r="D45" i="5"/>
  <c r="D46" i="5"/>
  <c r="D47" i="5"/>
  <c r="D142" i="5" s="1"/>
  <c r="D44" i="5"/>
  <c r="H44" i="5"/>
  <c r="D29" i="5"/>
  <c r="C19" i="1"/>
  <c r="C11" i="2"/>
  <c r="C26" i="1"/>
  <c r="D10" i="2"/>
  <c r="C12" i="2"/>
  <c r="D9" i="2"/>
  <c r="D8" i="2"/>
  <c r="D12" i="2"/>
  <c r="F11" i="2"/>
  <c r="C25" i="1"/>
  <c r="C30" i="1" l="1"/>
  <c r="E30" i="1"/>
  <c r="E84" i="1"/>
  <c r="D30" i="5"/>
  <c r="E25" i="1"/>
  <c r="E26" i="1"/>
  <c r="I44" i="5"/>
  <c r="D72" i="5"/>
  <c r="D73" i="5"/>
  <c r="D48" i="5"/>
  <c r="D103" i="5" s="1"/>
  <c r="D100" i="5" l="1"/>
  <c r="D35" i="5"/>
  <c r="D189" i="5"/>
  <c r="E32" i="1"/>
  <c r="E31" i="1"/>
  <c r="D49" i="5"/>
  <c r="D92" i="5"/>
  <c r="F25" i="1"/>
  <c r="F26" i="1"/>
  <c r="D74" i="5"/>
  <c r="C32" i="1"/>
  <c r="C31" i="1"/>
  <c r="E33" i="1" l="1"/>
  <c r="U10" i="7"/>
  <c r="C33" i="1"/>
  <c r="U6" i="7"/>
  <c r="W6" i="7" s="1"/>
  <c r="D36" i="5"/>
  <c r="D79" i="5" s="1"/>
  <c r="D83" i="5"/>
  <c r="D78" i="5"/>
  <c r="V10" i="7"/>
  <c r="E34" i="1"/>
  <c r="V6" i="7"/>
  <c r="X6" i="7" s="1"/>
  <c r="C34" i="1"/>
  <c r="D87" i="5" l="1"/>
  <c r="D94" i="5"/>
  <c r="D84" i="5"/>
  <c r="F34" i="1"/>
  <c r="D71" i="5"/>
  <c r="D80" i="5"/>
  <c r="D81" i="5" s="1"/>
  <c r="D54" i="5"/>
  <c r="D188" i="5"/>
  <c r="D56" i="5"/>
  <c r="D57" i="5" s="1"/>
  <c r="D91" i="5"/>
  <c r="D93" i="5"/>
  <c r="D95" i="5"/>
  <c r="D76" i="5"/>
  <c r="D11" i="5"/>
  <c r="X10" i="7"/>
  <c r="D13" i="5" s="1"/>
  <c r="D86" i="5"/>
  <c r="F33" i="1"/>
  <c r="D187" i="5"/>
  <c r="W10" i="7"/>
  <c r="D12" i="5" s="1"/>
  <c r="D10" i="5"/>
  <c r="D85" i="5"/>
  <c r="D185" i="5" l="1"/>
  <c r="D11" i="2"/>
  <c r="A7" i="2"/>
  <c r="A11" i="2"/>
  <c r="B11" i="2"/>
  <c r="D116" i="5" s="1"/>
  <c r="E9" i="2"/>
  <c r="A10" i="2"/>
  <c r="D119" i="5"/>
  <c r="D120" i="5" s="1"/>
  <c r="E7" i="2"/>
  <c r="B9" i="2"/>
  <c r="F7" i="2"/>
  <c r="A8" i="2"/>
  <c r="F10" i="2"/>
  <c r="F8" i="2"/>
  <c r="B8" i="2"/>
  <c r="C9" i="2"/>
  <c r="A9" i="2"/>
  <c r="D7" i="2"/>
  <c r="C7" i="2"/>
  <c r="C8" i="2"/>
  <c r="B7" i="2"/>
  <c r="D96" i="5"/>
  <c r="D97" i="5" s="1"/>
  <c r="D98" i="5" s="1"/>
  <c r="D66" i="5"/>
  <c r="D64" i="5"/>
  <c r="D68" i="5"/>
  <c r="D162" i="5"/>
  <c r="D75" i="5"/>
  <c r="D165" i="5" s="1"/>
  <c r="D117" i="5"/>
  <c r="D118" i="5" s="1"/>
  <c r="H68" i="5"/>
  <c r="D88" i="5"/>
  <c r="D89" i="5" s="1"/>
  <c r="F9" i="2"/>
  <c r="E10" i="2"/>
  <c r="E8" i="2"/>
  <c r="B12" i="2"/>
  <c r="A12" i="2"/>
  <c r="B10" i="2"/>
  <c r="D102" i="5" l="1"/>
  <c r="D104" i="5" s="1"/>
  <c r="D108" i="5"/>
  <c r="D67" i="5"/>
  <c r="D107" i="5"/>
  <c r="D69" i="5"/>
  <c r="I68" i="5"/>
  <c r="H118" i="5"/>
  <c r="I118" i="5" s="1"/>
  <c r="H69" i="5"/>
  <c r="D115" i="5"/>
  <c r="H120" i="5" s="1"/>
  <c r="H160" i="5"/>
  <c r="D65" i="5"/>
  <c r="H215" i="5"/>
  <c r="H103" i="5"/>
  <c r="D215" i="5"/>
  <c r="D121" i="5"/>
  <c r="D238" i="5"/>
  <c r="D186" i="5"/>
  <c r="D190" i="5" s="1"/>
  <c r="D109" i="5" l="1"/>
  <c r="D110" i="5" s="1"/>
  <c r="I215" i="5"/>
  <c r="D160" i="5"/>
  <c r="I160" i="5" s="1"/>
  <c r="H121" i="5"/>
  <c r="I121" i="5" s="1"/>
  <c r="H238" i="5"/>
  <c r="I120" i="5"/>
  <c r="I69" i="5"/>
  <c r="H221" i="5"/>
  <c r="H225" i="5" s="1"/>
  <c r="I103" i="5"/>
  <c r="D221" i="5"/>
  <c r="D225" i="5" s="1"/>
  <c r="D131" i="5"/>
  <c r="D134" i="5" s="1"/>
  <c r="D135" i="5" s="1"/>
  <c r="D133" i="5" l="1"/>
  <c r="H226" i="5"/>
  <c r="H230" i="5" s="1"/>
  <c r="D226" i="5"/>
  <c r="D229" i="5" s="1"/>
  <c r="H104" i="5"/>
  <c r="H133" i="5"/>
  <c r="I104" i="5"/>
  <c r="D230" i="5" l="1"/>
  <c r="D231" i="5" s="1"/>
  <c r="H134" i="5"/>
  <c r="H229" i="5"/>
  <c r="H231" i="5" s="1"/>
  <c r="D137" i="5"/>
  <c r="D138" i="5" s="1"/>
  <c r="D232" i="5" l="1"/>
  <c r="D233" i="5" s="1"/>
  <c r="D136" i="5"/>
  <c r="H135" i="5"/>
  <c r="H136" i="5"/>
  <c r="H232" i="5"/>
  <c r="H233" i="5" s="1"/>
  <c r="H137" i="5" l="1"/>
  <c r="H139" i="5" s="1"/>
  <c r="H165" i="5"/>
  <c r="D140" i="5"/>
  <c r="D141" i="5" s="1"/>
  <c r="H236" i="5"/>
  <c r="D236" i="5"/>
  <c r="D239" i="5" s="1"/>
  <c r="E24" i="5" s="1"/>
  <c r="I233" i="5"/>
  <c r="H140" i="5" l="1"/>
  <c r="H141" i="5" s="1"/>
  <c r="H239" i="5"/>
  <c r="H24" i="5"/>
  <c r="D200" i="5"/>
  <c r="H166" i="5"/>
  <c r="D260" i="5" s="1"/>
  <c r="I165" i="5"/>
  <c r="D139" i="5"/>
  <c r="D144" i="5" s="1"/>
  <c r="D145" i="5" s="1"/>
  <c r="D163" i="5" s="1"/>
  <c r="H138" i="5"/>
  <c r="D159" i="5" l="1"/>
  <c r="D201" i="5"/>
  <c r="C202" i="5" s="1"/>
  <c r="E25" i="5" s="1"/>
  <c r="D191" i="5"/>
  <c r="D164" i="5"/>
  <c r="H143" i="5"/>
  <c r="D168" i="5" l="1"/>
  <c r="H148" i="5"/>
  <c r="H144" i="5"/>
  <c r="H145" i="5" s="1"/>
  <c r="G152" i="5"/>
  <c r="D174" i="5"/>
  <c r="D251" i="5"/>
  <c r="D177" i="5" l="1"/>
  <c r="B3" i="9"/>
  <c r="D192" i="5"/>
  <c r="H150" i="5"/>
  <c r="H151" i="5" s="1"/>
  <c r="H149" i="5"/>
  <c r="E3" i="9" l="1"/>
  <c r="D194" i="5"/>
  <c r="I3" i="9" s="1"/>
  <c r="F3" i="9"/>
  <c r="H171" i="5"/>
  <c r="H174" i="5" s="1"/>
  <c r="D176" i="5" s="1"/>
  <c r="H159" i="5"/>
  <c r="H164" i="5"/>
  <c r="I164" i="5" s="1"/>
  <c r="H168" i="5" l="1"/>
  <c r="I159" i="5"/>
  <c r="H176" i="5"/>
  <c r="I174" i="5"/>
  <c r="I168" i="5"/>
</calcChain>
</file>

<file path=xl/sharedStrings.xml><?xml version="1.0" encoding="utf-8"?>
<sst xmlns="http://schemas.openxmlformats.org/spreadsheetml/2006/main" count="1252" uniqueCount="807">
  <si>
    <t>Kreiszahl</t>
  </si>
  <si>
    <t>µ0</t>
  </si>
  <si>
    <t xml:space="preserve">Induktionskonstante </t>
  </si>
  <si>
    <t>Influenzkonstante</t>
  </si>
  <si>
    <t>e0</t>
  </si>
  <si>
    <t>hq</t>
  </si>
  <si>
    <t>pi</t>
  </si>
  <si>
    <t xml:space="preserve">Bezeichnung </t>
  </si>
  <si>
    <t>Wert</t>
  </si>
  <si>
    <t>Basis des natürl. Logarithmus</t>
  </si>
  <si>
    <t>exp(1)</t>
  </si>
  <si>
    <t>pi(0)</t>
  </si>
  <si>
    <t>x</t>
  </si>
  <si>
    <t>theta Kuerzung  (V)</t>
  </si>
  <si>
    <t>eta11</t>
  </si>
  <si>
    <t>s</t>
  </si>
  <si>
    <t>c</t>
  </si>
  <si>
    <t>Lichtgeschwindigkeit</t>
  </si>
  <si>
    <t>xi</t>
  </si>
  <si>
    <t>Feinstrukturkonstante:</t>
  </si>
  <si>
    <t>s0</t>
  </si>
  <si>
    <t xml:space="preserve">[Ws*s] </t>
  </si>
  <si>
    <t>[m]</t>
  </si>
  <si>
    <t>Einheitsstrecke 1m</t>
  </si>
  <si>
    <t>geometrische Konstante (VI)</t>
  </si>
  <si>
    <t>eta</t>
  </si>
  <si>
    <t>ebn</t>
  </si>
  <si>
    <t>alfp</t>
  </si>
  <si>
    <t>alfm</t>
  </si>
  <si>
    <t>Vakuumwellenwiderstand R-</t>
  </si>
  <si>
    <t>Rg</t>
  </si>
  <si>
    <t>eq</t>
  </si>
  <si>
    <t>Als numerische Eingangsgrößen gehen lediglich ein:</t>
  </si>
  <si>
    <t>die Naturkonstanten Pi und ebn (Basis des natürlichen Logarithmus)</t>
  </si>
  <si>
    <t xml:space="preserve">- </t>
  </si>
  <si>
    <t>theta</t>
  </si>
  <si>
    <t>amu</t>
  </si>
  <si>
    <t>my Massenelement (VI)</t>
  </si>
  <si>
    <t xml:space="preserve">eta(1,1) Kürzung (V) </t>
  </si>
  <si>
    <t>eta Kuerzung  (V)</t>
  </si>
  <si>
    <t>eta12</t>
  </si>
  <si>
    <t xml:space="preserve">eta(1,2) Kürzung (V) </t>
  </si>
  <si>
    <t>(re. Seite)</t>
  </si>
  <si>
    <t>Anleitung</t>
  </si>
  <si>
    <t>Literaturquellen</t>
  </si>
  <si>
    <t>3. Koeffizientenmatrix A(ik) 1982</t>
  </si>
  <si>
    <t>alfa</t>
  </si>
  <si>
    <t>beta</t>
  </si>
  <si>
    <t>Alpha = Alpha+</t>
  </si>
  <si>
    <t>Beta = Alpha-</t>
  </si>
  <si>
    <t>1/Beta</t>
  </si>
  <si>
    <t>1/Alpha</t>
  </si>
  <si>
    <t>k</t>
  </si>
  <si>
    <t>kappa</t>
  </si>
  <si>
    <t>Doublettziffer</t>
  </si>
  <si>
    <t>P = 2 * Isospin</t>
  </si>
  <si>
    <t>Q = 2 * Raumspin</t>
  </si>
  <si>
    <t>Name des Teilchens</t>
  </si>
  <si>
    <t>eps</t>
  </si>
  <si>
    <t>epsq</t>
  </si>
  <si>
    <t>epsp</t>
  </si>
  <si>
    <t>qx</t>
  </si>
  <si>
    <t>kq</t>
  </si>
  <si>
    <t>Elektrische Ladungsquantenzahl</t>
  </si>
  <si>
    <t>Cs</t>
  </si>
  <si>
    <t>q = |qx|</t>
  </si>
  <si>
    <t>ix</t>
  </si>
  <si>
    <t>is</t>
  </si>
  <si>
    <t>alf1</t>
  </si>
  <si>
    <t>alf2</t>
  </si>
  <si>
    <t>alf3</t>
  </si>
  <si>
    <t>Hilfsfunktion eta(kq,k)</t>
  </si>
  <si>
    <t>wgxk</t>
  </si>
  <si>
    <t>aktiv bei Baryon (k=1)</t>
  </si>
  <si>
    <t>aktiv bei Meson (k=2)</t>
  </si>
  <si>
    <t>wgx</t>
  </si>
  <si>
    <t>an</t>
  </si>
  <si>
    <t>aq</t>
  </si>
  <si>
    <t>agx</t>
  </si>
  <si>
    <t>bgx</t>
  </si>
  <si>
    <t>für w2</t>
  </si>
  <si>
    <t>für avx (Resonanzbasis)</t>
  </si>
  <si>
    <t>für avx, bvx</t>
  </si>
  <si>
    <t>für bvx (Resonanzraster)</t>
  </si>
  <si>
    <t>für w1 (Strukturpotenz Mesonen)</t>
  </si>
  <si>
    <t>für w2 (Strukturpotenz Baryonen)</t>
  </si>
  <si>
    <t>W2</t>
  </si>
  <si>
    <t>W3</t>
  </si>
  <si>
    <t>W4</t>
  </si>
  <si>
    <t>Hinweis</t>
  </si>
  <si>
    <t>Version</t>
  </si>
  <si>
    <t>Changes</t>
  </si>
  <si>
    <t>Datum</t>
  </si>
  <si>
    <t>P</t>
  </si>
  <si>
    <t>Q</t>
  </si>
  <si>
    <t>Zeithelizität festlegen (1 = normal, -1 = Antiteilchen)</t>
  </si>
  <si>
    <t>Die Faktoren enthalten die geometrischen Konstanten pi, ebn, xi und eta sowie die Feinstrukturkonstante (alfa, beta).</t>
  </si>
  <si>
    <t>q.1</t>
  </si>
  <si>
    <t>q.2</t>
  </si>
  <si>
    <t>q.3</t>
  </si>
  <si>
    <t>q.4</t>
  </si>
  <si>
    <t>w.1</t>
  </si>
  <si>
    <t>k.1</t>
  </si>
  <si>
    <t>n.1</t>
  </si>
  <si>
    <t>w.2</t>
  </si>
  <si>
    <t>k.2</t>
  </si>
  <si>
    <t>n.2</t>
  </si>
  <si>
    <t>w.3</t>
  </si>
  <si>
    <t>k.3</t>
  </si>
  <si>
    <t>n.3</t>
  </si>
  <si>
    <t>w.4</t>
  </si>
  <si>
    <t>k.4</t>
  </si>
  <si>
    <t>n.4</t>
  </si>
  <si>
    <t>Legende:</t>
  </si>
  <si>
    <t>Diese Terme reagieren sehr stark auf Ungenauigkeiten der Feinstrukturkonstante, da sie den Ausdruck</t>
  </si>
  <si>
    <t>(1-beta^2) enthalten.</t>
  </si>
  <si>
    <t>kgh</t>
  </si>
  <si>
    <t>fik</t>
  </si>
  <si>
    <t>fakMeV</t>
  </si>
  <si>
    <t>gewählt wurde</t>
  </si>
  <si>
    <t>Alpha</t>
  </si>
  <si>
    <t>Beta</t>
  </si>
  <si>
    <t>Aus k, P, Q abgeleitete Quantenzahlen</t>
  </si>
  <si>
    <t>Wert der Feinstrukturkonstante auswählen (siehe Tabelle2)</t>
  </si>
  <si>
    <t>Heim 1982</t>
  </si>
  <si>
    <t>[kg] -&gt; [MeV/c^2]</t>
  </si>
  <si>
    <t>[m^3 / (kg*s^2)]</t>
  </si>
  <si>
    <t>Auf der nächsten Seite kann ein Wert der Feinstrukturkonstante als Berechnungsbasis ausgewählt werden!</t>
  </si>
  <si>
    <t>Berechnung der Masse eines ausgewählten Elementarteilchens</t>
  </si>
  <si>
    <t>Geometrische Konstanten</t>
  </si>
  <si>
    <t>Alpha+ (geometrischer Faktor)</t>
  </si>
  <si>
    <t>Alpha- (geometrischer Faktor)</t>
  </si>
  <si>
    <t>Konfiguration (1 = Meson, 2 = Baryon) = Baryonenzahl +1</t>
  </si>
  <si>
    <t>(Protosimplexbesetzung)</t>
  </si>
  <si>
    <t>Q1 = Anzahl Strukturentitäten in Zone 1</t>
  </si>
  <si>
    <t>Q2 = Anzahl Strukturentitäten in Zone 2</t>
  </si>
  <si>
    <t>(I - 9)</t>
  </si>
  <si>
    <t>(I - 5)</t>
  </si>
  <si>
    <t>(II)</t>
  </si>
  <si>
    <t>(X - 2)</t>
  </si>
  <si>
    <t>(X - 3)</t>
  </si>
  <si>
    <t>(X - 4)</t>
  </si>
  <si>
    <t>(VIII - 4)</t>
  </si>
  <si>
    <t>(IX - 1)</t>
  </si>
  <si>
    <t>(IX - 2)</t>
  </si>
  <si>
    <t>(IX - 3)</t>
  </si>
  <si>
    <t>(IX - 4)</t>
  </si>
  <si>
    <t>(IX - 5)</t>
  </si>
  <si>
    <t>(IX - 6)</t>
  </si>
  <si>
    <t>(XV)</t>
  </si>
  <si>
    <t>(XVII)</t>
  </si>
  <si>
    <t>(XVIII)</t>
  </si>
  <si>
    <t>(XIX ff)</t>
  </si>
  <si>
    <t>(XIV … XV)</t>
  </si>
  <si>
    <t>(XXI)</t>
  </si>
  <si>
    <t>(XXII)</t>
  </si>
  <si>
    <t>(XX)</t>
  </si>
  <si>
    <t>(XXIII)</t>
  </si>
  <si>
    <t>(XXV)</t>
  </si>
  <si>
    <t>Zahlen für den Grundzustand ausrechnen</t>
  </si>
  <si>
    <t>(XXIX Text)</t>
  </si>
  <si>
    <t>(XXX Text)</t>
  </si>
  <si>
    <t>(XXXI Text)</t>
  </si>
  <si>
    <t>k.4v</t>
  </si>
  <si>
    <t>n.4v</t>
  </si>
  <si>
    <t>Variable</t>
  </si>
  <si>
    <t>Gleichung 1982</t>
  </si>
  <si>
    <t>Name und Bedeutung</t>
  </si>
  <si>
    <t>Aus k, P, Q, x abgeleitete Quantenzahlen</t>
  </si>
  <si>
    <t>Komponenten-Nummer des Multipletts = 1 … I</t>
  </si>
  <si>
    <t>Anmerkung: Andere Formel für A11 in [3]</t>
  </si>
  <si>
    <t>Abweichung</t>
  </si>
  <si>
    <t>Zum Vergleich: empirischer Mittelwert</t>
  </si>
  <si>
    <t>[%]</t>
  </si>
  <si>
    <t>[MeV]</t>
  </si>
  <si>
    <t>(XII)</t>
  </si>
  <si>
    <t>Q3 = Anzahl Strukturentitäten in Zone 3</t>
  </si>
  <si>
    <t>Q4 = Anzahl Strukturentitäten in Zone 4</t>
  </si>
  <si>
    <t>n4 = K4 - Q4</t>
  </si>
  <si>
    <t>n3 = K3 - Q3</t>
  </si>
  <si>
    <t>K3 = K3v - 1 (Fallunterscheidung (a), (c))</t>
  </si>
  <si>
    <t>K4               (Fallunterscheidung (a), (c))</t>
  </si>
  <si>
    <t>n2 = K2 - Q2 angeregte Protosimplexe</t>
  </si>
  <si>
    <t>n3v = K3v - Q3 angeregte Protosimplexe</t>
  </si>
  <si>
    <t>n4v = K4 - Q4 angeregte Protosimplexe</t>
  </si>
  <si>
    <t>Sie drücken den Anstieg der Besetzungen in den Zonen aus.</t>
  </si>
  <si>
    <t>wvx(k) Strukturpotenz</t>
  </si>
  <si>
    <t xml:space="preserve">Professor Dr. Norbert Dragon </t>
  </si>
  <si>
    <t>Institut für Theoretische Physik</t>
  </si>
  <si>
    <t>Appelstraße 2</t>
  </si>
  <si>
    <t>D-30167 Hannover</t>
  </si>
  <si>
    <t>am Mi 13 Apr. 2005 11:36 in de.sci.physik "Erweiterte QFT von Burkhart Heim"</t>
  </si>
  <si>
    <t xml:space="preserve">"Es gibt keine Massenformel, es gibt keine Theorie. </t>
  </si>
  <si>
    <t>Die Zahlenwerte sind schlicht und  einfach erfunden und zudem falsch."</t>
  </si>
  <si>
    <t>z.B. bei Proton, N=8; n, N=6</t>
  </si>
  <si>
    <t>Massenanteile</t>
  </si>
  <si>
    <t>(IX - 1-3 mit Ki = ni + Qi)</t>
  </si>
  <si>
    <t>Masse</t>
  </si>
  <si>
    <t>kgh = 4(alf1*K1^2*(1 + K1)^2/4 + alf2*K2*(2*K2^2 + 3*K2 + 1)/6 + alf3*K3*(1 + K3)/2 + K4)</t>
  </si>
  <si>
    <t>Heim 1989</t>
  </si>
  <si>
    <t>eta22</t>
  </si>
  <si>
    <t>eta(2,2)</t>
  </si>
  <si>
    <t>Teilchen durch Multiplettnummer auswählen (siehe Tabelle 1)</t>
  </si>
  <si>
    <t>und wie sie sich bei Anregung ändern.</t>
  </si>
  <si>
    <t>Die rechnerische Genauigkeit von Excel ist begrenzt.</t>
  </si>
  <si>
    <t>[1]</t>
  </si>
  <si>
    <t>Skript zur Heimschen Massenformel von 1982 (www.heim-theory.com) (berichtigte Version)</t>
  </si>
  <si>
    <t>Achtung: Die Version von 2003 enthält in einigen Formeln Satzfehler.</t>
  </si>
  <si>
    <t>[2]</t>
  </si>
  <si>
    <t>FORTRAN Quellcode von H.D. Schulz, DESY vom 17.3.1982, bezogen auf Gleichungen</t>
  </si>
  <si>
    <t>[3]</t>
  </si>
  <si>
    <t>von Burkhard Heim vom 17.9.1978.</t>
  </si>
  <si>
    <t>N</t>
  </si>
  <si>
    <t>Resonanzordnung eingeben (0 = Grundzustand, sonst &gt;= 2)</t>
  </si>
  <si>
    <t>Numerische Korrektur entfernt (aufrunden bei Ki &gt; x.99), weil diese für das Neutron (N=4) einen Fehler erzeugt.</t>
  </si>
  <si>
    <t>(XXXIII) substituiert mit M0 und G=k+1</t>
  </si>
  <si>
    <t>a1 = 1.5</t>
  </si>
  <si>
    <t>a2 = 0.5</t>
  </si>
  <si>
    <t>ra = (9*a1*a2 - 27*a3 - 2*a1*3) / 54</t>
  </si>
  <si>
    <t>qa = (3*a2 - a1**2) / 9</t>
  </si>
  <si>
    <t>da = Sqrt(qa**3 + ra**2) Diskriminante</t>
  </si>
  <si>
    <t>Lösung</t>
  </si>
  <si>
    <t>sa = (ra + da)**(1/3)</t>
  </si>
  <si>
    <t>ta = (ra - da)**(1/3)</t>
  </si>
  <si>
    <t>(XXXIV-2)</t>
  </si>
  <si>
    <t>(XXXIV-1)</t>
  </si>
  <si>
    <t>(XXXIV-3)</t>
  </si>
  <si>
    <t>a3 = -3*alf1/alf2 * (L1 + Q1)**3</t>
  </si>
  <si>
    <t>temp1</t>
  </si>
  <si>
    <t>temp2</t>
  </si>
  <si>
    <t>(XXXV)</t>
  </si>
  <si>
    <t>Cardanische Lösung der reduzierten Gleichung mit den Substitutionen q und r</t>
  </si>
  <si>
    <t>kghfig</t>
  </si>
  <si>
    <t>L.1</t>
  </si>
  <si>
    <t>L.2</t>
  </si>
  <si>
    <t>L.3</t>
  </si>
  <si>
    <t>L.4</t>
  </si>
  <si>
    <t>Überschreiten der Resonanzgrenze überprüfen (von N abhängig)</t>
  </si>
  <si>
    <r>
      <t xml:space="preserve">Freischalten der Blätter über </t>
    </r>
    <r>
      <rPr>
        <i/>
        <sz val="10"/>
        <rFont val="Arial"/>
        <family val="2"/>
      </rPr>
      <t>Extras &gt; Schutz &gt; Blattschutz aufheben</t>
    </r>
    <r>
      <rPr>
        <sz val="10"/>
        <rFont val="Arial"/>
      </rPr>
      <t xml:space="preserve"> mit dem Passwort "heim".</t>
    </r>
  </si>
  <si>
    <t>mit x = (L2 + Q2)</t>
  </si>
  <si>
    <t>Resonanzordnung zugelassen solange f(N) &gt; W(N=0)</t>
  </si>
  <si>
    <t>Kürzung</t>
  </si>
  <si>
    <t>f(N)</t>
  </si>
  <si>
    <t>Table 1a: Quantenzahlen der Elementarteilchen</t>
  </si>
  <si>
    <t>Tabelle 1b: Empirische Werte</t>
  </si>
  <si>
    <t>Tabelle 1c:</t>
  </si>
  <si>
    <t>Tabelle 2: Werte für die Feinstrukturkonstante</t>
  </si>
  <si>
    <t>(in den Multipletts)</t>
  </si>
  <si>
    <t>#</t>
  </si>
  <si>
    <t>Name</t>
  </si>
  <si>
    <t>Source</t>
  </si>
  <si>
    <t>Sch 1982</t>
  </si>
  <si>
    <t>CODATA 98</t>
  </si>
  <si>
    <t>GPROG</t>
  </si>
  <si>
    <t>Value</t>
  </si>
  <si>
    <t>Comment</t>
  </si>
  <si>
    <t>Schulz 1982</t>
  </si>
  <si>
    <t>CODATA 1998</t>
  </si>
  <si>
    <t>CODATA 2001 upper limit</t>
  </si>
  <si>
    <t>o-</t>
  </si>
  <si>
    <t>CODATA 2001 lower limit</t>
  </si>
  <si>
    <t>o0</t>
  </si>
  <si>
    <t>o+</t>
  </si>
  <si>
    <t>Heim Theory Group 2003</t>
  </si>
  <si>
    <t>Multiplettnummer bei Heim [3]</t>
  </si>
  <si>
    <t>Quelle:</t>
  </si>
  <si>
    <t>Q = 2 * Spin</t>
  </si>
  <si>
    <t>Spielart des Multipletts</t>
  </si>
  <si>
    <t>Ladung (wird errechnet)</t>
  </si>
  <si>
    <t>Strangeness (wird errechnet)</t>
  </si>
  <si>
    <t>Quellen:</t>
  </si>
  <si>
    <t>Heim 1982 von Seite 1</t>
  </si>
  <si>
    <t>Heim 1989 von Seite 1</t>
  </si>
  <si>
    <t>Theorie W. Droescher 2000</t>
  </si>
  <si>
    <t>Theorie W. Droescher 2002</t>
  </si>
  <si>
    <t>Messung 2003</t>
  </si>
  <si>
    <t>Dieser Wert war 1982 unbekannt.</t>
  </si>
  <si>
    <t>(leer)</t>
  </si>
  <si>
    <t>Mittelwert</t>
  </si>
  <si>
    <t>mH</t>
  </si>
  <si>
    <t>mG</t>
  </si>
  <si>
    <t>mK</t>
  </si>
  <si>
    <t>a.1</t>
  </si>
  <si>
    <t>a.2</t>
  </si>
  <si>
    <t>a.3</t>
  </si>
  <si>
    <t>qa</t>
  </si>
  <si>
    <t>ra</t>
  </si>
  <si>
    <t>da</t>
  </si>
  <si>
    <t>sa</t>
  </si>
  <si>
    <t>ta</t>
  </si>
  <si>
    <t>L1 Limit (Zentralzone)</t>
  </si>
  <si>
    <t>L3 Limit (Mesozone)</t>
  </si>
  <si>
    <t>L4 Limit (Externzone)</t>
  </si>
  <si>
    <t>L2 Limit (Internzone)</t>
  </si>
  <si>
    <t>Daraus ergeben sich für diese Maximalbesetzung L1 die Protosimplexmengen Li der anderen Zonen.</t>
  </si>
  <si>
    <t>Diese können nicht überschritten werden.</t>
  </si>
  <si>
    <t>temp1 = W (N=0) = W (L1, L2, L3, L4)</t>
  </si>
  <si>
    <t>Berechnet auf Seite 1</t>
  </si>
  <si>
    <t>Tabelle 5: Werte für den Vakuumwellenwiderstand Rg</t>
  </si>
  <si>
    <t>Tabelle 4: Werte für die Lichtgeschwindigkeit c</t>
  </si>
  <si>
    <t>Wert für Lichtgeschwindigkeit c (Tabelle 4)</t>
  </si>
  <si>
    <t>Wert für Vakuumwellenwiderstand Rg (Tabelle 5)</t>
  </si>
  <si>
    <t>Wert für Gravitationskonstante (Tabelle 3)</t>
  </si>
  <si>
    <t>gamma</t>
  </si>
  <si>
    <t>[4]</t>
  </si>
  <si>
    <t>Quantenzahlen: [4]</t>
  </si>
  <si>
    <t>Burkhard Heim: Elementarstrukturen der Materie, Band 1 und 2</t>
  </si>
  <si>
    <r>
      <t>Proto</t>
    </r>
    <r>
      <rPr>
        <b/>
        <sz val="10"/>
        <color indexed="18"/>
        <rFont val="Arial"/>
        <family val="2"/>
      </rPr>
      <t>simplex</t>
    </r>
    <r>
      <rPr>
        <sz val="10"/>
        <rFont val="Arial"/>
      </rPr>
      <t xml:space="preserve"> site: www.engon.de/protosimplex/</t>
    </r>
  </si>
  <si>
    <t>cs</t>
  </si>
  <si>
    <t>Ergebnis des 8-dimensionalen Heim space, 1982 unbekannt.</t>
  </si>
  <si>
    <t>Le</t>
  </si>
  <si>
    <t>Excitation limit (wird errechnet)</t>
  </si>
  <si>
    <t>Fi</t>
  </si>
  <si>
    <t>Fi Masseanteil aus Feldmassen</t>
  </si>
  <si>
    <t>fik Neutrinomassen (nur Feldmassen bei leerer Gerüststruktur)</t>
  </si>
  <si>
    <t>(IX - 4 ohne letzen Term)</t>
  </si>
  <si>
    <t>Freie Neutrinostrahlung ist nur für Mesonen (k = 1) wahrscheinlich.</t>
  </si>
  <si>
    <t>Darstellung der mesonischen Neutrinomassen als Feldmassen bei leerer Gerüststruktur.</t>
  </si>
  <si>
    <t>Die Beta-Neutrinos aus dem von k unabhängigen Term in Fi sind noch nicht dargestellt.</t>
  </si>
  <si>
    <t>Leovinus 2006</t>
  </si>
  <si>
    <t>m(neutrino) = amu * fakMeV * alfp*(fik)</t>
  </si>
  <si>
    <t>Optimiert für Berechnung des Elektrons.</t>
  </si>
  <si>
    <t>PDG 2004</t>
  </si>
  <si>
    <t>http://pdg.lbl.gov/2005/mcdata/mass_width_2004.csv</t>
  </si>
  <si>
    <t>Es bleibt jedoch ein Anteil der Feldmasse Fi bestehen, der als Neutrino interpretierbar ist.</t>
  </si>
  <si>
    <t>1.</t>
  </si>
  <si>
    <t>Daraus werden automatisch einige abgeleitete Naturkonstanten berechnet und numerisch angezeigt.</t>
  </si>
  <si>
    <t xml:space="preserve">2. </t>
  </si>
  <si>
    <t xml:space="preserve">Auswählen lässt sich das Teilchen anhand seines Quantenzahlensets. </t>
  </si>
  <si>
    <t xml:space="preserve">Außerdem können die Vorgaben für den einfließenden Wert der Feinstrukturkonstante, </t>
  </si>
  <si>
    <r>
      <t xml:space="preserve">Im Blatt </t>
    </r>
    <r>
      <rPr>
        <sz val="10"/>
        <color indexed="56"/>
        <rFont val="Arial"/>
        <family val="2"/>
      </rPr>
      <t>[Konstante]</t>
    </r>
    <r>
      <rPr>
        <sz val="10"/>
        <rFont val="Arial"/>
        <family val="2"/>
      </rPr>
      <t xml:space="preserve"> wählt man die empirischen Werte der Naturkonstanten aus.</t>
    </r>
  </si>
  <si>
    <t xml:space="preserve">Der Rechnungsweg wird völlig transparent dargestellt. </t>
  </si>
  <si>
    <t>Klicke auf ein Zahlenfeld, um die dahinter arbeitende Formel zu sehen.</t>
  </si>
  <si>
    <t>Im Adressfeld links davon steht der Zellname, der der hier berechneten Größe zugewiesen ist.</t>
  </si>
  <si>
    <t>3.</t>
  </si>
  <si>
    <r>
      <t xml:space="preserve">Alle auswählbaren Eingangswerte sind im Arbeitsblatt </t>
    </r>
    <r>
      <rPr>
        <sz val="10"/>
        <color indexed="56"/>
        <rFont val="Arial"/>
        <family val="2"/>
      </rPr>
      <t>[Tabellen]</t>
    </r>
    <r>
      <rPr>
        <sz val="10"/>
        <rFont val="Arial"/>
        <family val="2"/>
      </rPr>
      <t xml:space="preserve"> gespeichert und dort einsehbar.</t>
    </r>
  </si>
  <si>
    <t xml:space="preserve">Man kann nun beobachten, wie sich die Innenstrukturen verschiedener Teilchen numerisch unterscheiden, </t>
  </si>
  <si>
    <t>Um die Herleitung und Bedeutung der einzelnen Zahlenwerte zu verstehen, sollte unbedingt</t>
  </si>
  <si>
    <t>ergänzende Literatur studiert werden!</t>
  </si>
  <si>
    <t>Heim 1989a</t>
  </si>
  <si>
    <t>Heim 1989b</t>
  </si>
  <si>
    <t>Tabelle 8: Werte für Faktor [kgMev]</t>
  </si>
  <si>
    <t>2009-11-22</t>
  </si>
  <si>
    <t>(hier Wert eingeben)</t>
  </si>
  <si>
    <t>1982 und 1989 benutzter Wert.</t>
  </si>
  <si>
    <t>[As] berechnet aus Theta, hq, Rg</t>
  </si>
  <si>
    <t>Tabelle 6: Werte für Massenelement my (µ)</t>
  </si>
  <si>
    <t>my Massenelement (Tabelle 6) oder (VI)</t>
  </si>
  <si>
    <t>[m/s] berechnet aus µ0, e0</t>
  </si>
  <si>
    <t>[Ohm] berechnet aus µ0, e0</t>
  </si>
  <si>
    <t>Formel entspricht dem Goldenen Schnitt</t>
  </si>
  <si>
    <t>1. Vorgegebene mathematische Konstanten</t>
  </si>
  <si>
    <t>Physikalische Eingangsgrößen der Massenformel</t>
  </si>
  <si>
    <t>Berechnet aus µ0 und e0</t>
  </si>
  <si>
    <t>Plancksches Wirkungsquant (Tabelle 7)</t>
  </si>
  <si>
    <t>ergibt</t>
  </si>
  <si>
    <t>Tabelle 3: Werte für Gravitationskonstante Gamma</t>
  </si>
  <si>
    <t>2. Wählen Sie Gamma, hq (Plancksches Wirkungsquant) und FakMeV</t>
  </si>
  <si>
    <r>
      <t xml:space="preserve">Die vier Größen </t>
    </r>
    <r>
      <rPr>
        <i/>
        <sz val="10"/>
        <rFont val="Arial"/>
        <family val="2"/>
      </rPr>
      <t>µ0</t>
    </r>
    <r>
      <rPr>
        <sz val="10"/>
        <rFont val="Arial"/>
      </rPr>
      <t>,</t>
    </r>
    <r>
      <rPr>
        <i/>
        <sz val="10"/>
        <rFont val="Arial"/>
        <family val="2"/>
      </rPr>
      <t>eo</t>
    </r>
    <r>
      <rPr>
        <sz val="10"/>
        <rFont val="Arial"/>
      </rPr>
      <t xml:space="preserve">, </t>
    </r>
    <r>
      <rPr>
        <i/>
        <sz val="10"/>
        <rFont val="Arial"/>
        <family val="2"/>
      </rPr>
      <t>Rg</t>
    </r>
    <r>
      <rPr>
        <sz val="10"/>
        <rFont val="Arial"/>
      </rPr>
      <t xml:space="preserve"> und </t>
    </r>
    <r>
      <rPr>
        <i/>
        <sz val="10"/>
        <rFont val="Arial"/>
        <family val="2"/>
      </rPr>
      <t>c</t>
    </r>
    <r>
      <rPr>
        <sz val="10"/>
        <rFont val="Arial"/>
      </rPr>
      <t xml:space="preserve"> </t>
    </r>
  </si>
  <si>
    <t>können wechselseitig auseinander berechnet werden.</t>
  </si>
  <si>
    <t>Alle physikalischen Größen gehen nur im letzten Schritt</t>
  </si>
  <si>
    <r>
      <t xml:space="preserve">als direkte Skalierung des Massenwertes </t>
    </r>
    <r>
      <rPr>
        <i/>
        <sz val="10"/>
        <rFont val="Arial"/>
        <family val="2"/>
      </rPr>
      <t>m</t>
    </r>
    <r>
      <rPr>
        <sz val="10"/>
        <rFont val="Arial"/>
      </rPr>
      <t xml:space="preserve"> ein.</t>
    </r>
  </si>
  <si>
    <t>3. Physikalische Naturkonstanten zur Skalierung auf ein Maßsystem</t>
  </si>
  <si>
    <t>Schulz 1982, Heim1989a,b</t>
  </si>
  <si>
    <t>Daraus abgeleitetetes Minimales Massenelement und Elementarladung</t>
  </si>
  <si>
    <t>Umrechnungsfaktor (Tabelle 8)</t>
  </si>
  <si>
    <t>[kg] berechnet aus Gamma, hq und c</t>
  </si>
  <si>
    <t>(Beschreibung)</t>
  </si>
  <si>
    <t>Tabelle 7: Werte für Plancksches Wirkungsquant hq</t>
  </si>
  <si>
    <t>2. Daraus abgeleitete geometrische Naturkonstanten</t>
  </si>
  <si>
    <r>
      <t xml:space="preserve">1. Wählen Sie Werte für </t>
    </r>
    <r>
      <rPr>
        <b/>
        <i/>
        <sz val="10"/>
        <rFont val="Arial"/>
        <family val="2"/>
      </rPr>
      <t>c</t>
    </r>
    <r>
      <rPr>
        <b/>
        <sz val="10"/>
        <rFont val="Arial"/>
        <family val="2"/>
      </rPr>
      <t xml:space="preserve"> und </t>
    </r>
    <r>
      <rPr>
        <b/>
        <i/>
        <sz val="10"/>
        <rFont val="Arial"/>
        <family val="2"/>
      </rPr>
      <t>Rg</t>
    </r>
  </si>
  <si>
    <t>theta1,2</t>
  </si>
  <si>
    <t>theta2,2</t>
  </si>
  <si>
    <t>H</t>
  </si>
  <si>
    <t>H = Summer der Qi</t>
  </si>
  <si>
    <t>(12b)</t>
  </si>
  <si>
    <t>B</t>
  </si>
  <si>
    <t>(13b)</t>
  </si>
  <si>
    <t>(12c)</t>
  </si>
  <si>
    <t>A</t>
  </si>
  <si>
    <t>(12a)</t>
  </si>
  <si>
    <t>(11a)</t>
  </si>
  <si>
    <t>(7a)</t>
  </si>
  <si>
    <t>(6c)</t>
  </si>
  <si>
    <t>(6b)</t>
  </si>
  <si>
    <t>(6d)</t>
  </si>
  <si>
    <t>Empirische Vergleichswerte aus http://pdg.lbl.gov/2005/mcdata/mass_width_2004.csv.</t>
  </si>
  <si>
    <t>[5]</t>
  </si>
  <si>
    <t>(I - 10) (II-1)</t>
  </si>
  <si>
    <t>Wert 1982</t>
  </si>
  <si>
    <t>(17a)</t>
  </si>
  <si>
    <t>(17)</t>
  </si>
  <si>
    <t>Gleichung 1989</t>
  </si>
  <si>
    <t>eingeschränkt (19ff)</t>
  </si>
  <si>
    <t>Konfigurationstransfer, Strukturdistributor (strangeness)</t>
  </si>
  <si>
    <t>(18)</t>
  </si>
  <si>
    <t>(X - 1) Ergebnis gleich</t>
  </si>
  <si>
    <t>(8a) (7a)</t>
  </si>
  <si>
    <t>(8b) (7a)</t>
  </si>
  <si>
    <t>(8d)</t>
  </si>
  <si>
    <t>(8e)</t>
  </si>
  <si>
    <t>-</t>
  </si>
  <si>
    <t>N4</t>
  </si>
  <si>
    <t>N5</t>
  </si>
  <si>
    <t>(8e2)</t>
  </si>
  <si>
    <t>N6</t>
  </si>
  <si>
    <t>N(k) = H - Korrekturterm 1</t>
  </si>
  <si>
    <t>(8f1)</t>
  </si>
  <si>
    <t>Nk</t>
  </si>
  <si>
    <t>N.k</t>
  </si>
  <si>
    <t>g</t>
  </si>
  <si>
    <t>A.n</t>
  </si>
  <si>
    <t>(8e1) (8c1)</t>
  </si>
  <si>
    <t>u</t>
  </si>
  <si>
    <t>(8c1)</t>
  </si>
  <si>
    <t>etaqk</t>
  </si>
  <si>
    <t>eta1k</t>
  </si>
  <si>
    <t>(8f)</t>
  </si>
  <si>
    <t>etaq1</t>
  </si>
  <si>
    <t>thetaq1</t>
  </si>
  <si>
    <t>Hilfsfunktion eta(1,k) für N3</t>
  </si>
  <si>
    <t>Hilfsfunktion eta(q,1) für N3</t>
  </si>
  <si>
    <t>Hilfsfunktion theta(q,1) für N3</t>
  </si>
  <si>
    <r>
      <t xml:space="preserve">(6a) </t>
    </r>
    <r>
      <rPr>
        <b/>
        <sz val="10"/>
        <color indexed="10"/>
        <rFont val="Arial"/>
        <family val="2"/>
      </rPr>
      <t>geändert</t>
    </r>
  </si>
  <si>
    <r>
      <t xml:space="preserve">(12c) </t>
    </r>
    <r>
      <rPr>
        <b/>
        <sz val="10"/>
        <color indexed="10"/>
        <rFont val="Arial"/>
        <family val="2"/>
      </rPr>
      <t>geändert</t>
    </r>
  </si>
  <si>
    <t>L</t>
  </si>
  <si>
    <t>WN.0</t>
  </si>
  <si>
    <t>(11b)</t>
  </si>
  <si>
    <t>(13a)</t>
  </si>
  <si>
    <t>a1</t>
  </si>
  <si>
    <t>a2</t>
  </si>
  <si>
    <t>(13e)</t>
  </si>
  <si>
    <t>a..1</t>
  </si>
  <si>
    <t>a..2</t>
  </si>
  <si>
    <t>a..3</t>
  </si>
  <si>
    <t>P..2</t>
  </si>
  <si>
    <t>P..3</t>
  </si>
  <si>
    <t>Q..3</t>
  </si>
  <si>
    <t>Binomial (P über 2)</t>
  </si>
  <si>
    <t>Binomial (P über 3)</t>
  </si>
  <si>
    <t>Binomial (Q über 3)</t>
  </si>
  <si>
    <t>y21 (Teil von y2)</t>
  </si>
  <si>
    <t>y20 (Teil von y2)</t>
  </si>
  <si>
    <t>y23 (Teil von y2)</t>
  </si>
  <si>
    <t>y22 (Teil von y2)</t>
  </si>
  <si>
    <t>y = (y.1 + y.2) / (2B)</t>
  </si>
  <si>
    <t>a3 =f(y)</t>
  </si>
  <si>
    <t>y1 Teil 1 von y</t>
  </si>
  <si>
    <t>(13e1) korrigiert</t>
  </si>
  <si>
    <t>a1.10 (Teil von a1)</t>
  </si>
  <si>
    <t>a1.11 (Teil von a1) nur bei kappa=1</t>
  </si>
  <si>
    <t>a1.12 (Teil von a1)  nur bei kappa=0</t>
  </si>
  <si>
    <t>(13c)</t>
  </si>
  <si>
    <t>a.20 (Teil von a2)</t>
  </si>
  <si>
    <t>(13d) korrigiert</t>
  </si>
  <si>
    <t>a.21 (Teil von a2) nur bei kappa=1</t>
  </si>
  <si>
    <t>a.22 (Teil von a2) nur bei kappa=0</t>
  </si>
  <si>
    <t xml:space="preserve"> a.221 (Teil von a.22)</t>
  </si>
  <si>
    <t xml:space="preserve"> a.223 (Teil von a.22)</t>
  </si>
  <si>
    <t xml:space="preserve"> a.222 (Teil von a.22) nur bei k=2</t>
  </si>
  <si>
    <t>Korrektur J. M.</t>
  </si>
  <si>
    <r>
      <t xml:space="preserve">(8c) (7a) </t>
    </r>
    <r>
      <rPr>
        <b/>
        <sz val="10"/>
        <color indexed="10"/>
        <rFont val="Arial"/>
        <family val="2"/>
      </rPr>
      <t>geändert + Korrektur J. M.</t>
    </r>
  </si>
  <si>
    <t>Kürzung a</t>
  </si>
  <si>
    <t>P = 2 * Isospin, P=0 Singulett,  P=1 Doublett, P=2 Triplett …</t>
  </si>
  <si>
    <t>o++</t>
  </si>
  <si>
    <t>Die Partikel Delta (22…25) sind in der Formel 1989 verboten.</t>
  </si>
  <si>
    <t>Die o-Partikel besaßen in der Formel von 1982 Q=1.</t>
  </si>
  <si>
    <t>o-- (1982)</t>
  </si>
  <si>
    <t>o- (1982)</t>
  </si>
  <si>
    <t>o0 (1982)</t>
  </si>
  <si>
    <t>o+ (1982)</t>
  </si>
  <si>
    <t>Konfiguration (1 = Meson, 2 = Baryon)</t>
  </si>
  <si>
    <t>y2 (Teil 2 von y) = y.20 + y.21 + y22 + y.23, nur bei kappa=0</t>
  </si>
  <si>
    <t>0.2</t>
  </si>
  <si>
    <t>x..</t>
  </si>
  <si>
    <r>
      <t xml:space="preserve">(17b) </t>
    </r>
    <r>
      <rPr>
        <b/>
        <sz val="10"/>
        <color indexed="10"/>
        <rFont val="Arial"/>
        <family val="2"/>
      </rPr>
      <t xml:space="preserve">Korrektur J. M. </t>
    </r>
  </si>
  <si>
    <t>Invariante metrische Gerüststruktur (festes Grundraster für k = 1 oder k= 2, Baryon/Meson)</t>
  </si>
  <si>
    <t>Differenz in %</t>
  </si>
  <si>
    <t>g Basisanstieg der Resonanzkurve</t>
  </si>
  <si>
    <t>Wvx (1982) = g(qk) * wvx</t>
  </si>
  <si>
    <t>W(N=0) (1989)</t>
  </si>
  <si>
    <t>alf3o</t>
  </si>
  <si>
    <t>C</t>
  </si>
  <si>
    <t>theta1,1</t>
  </si>
  <si>
    <t>X</t>
  </si>
  <si>
    <t>(14a1)</t>
  </si>
  <si>
    <t>C.</t>
  </si>
  <si>
    <t>ag</t>
  </si>
  <si>
    <t>bg</t>
  </si>
  <si>
    <t>?</t>
  </si>
  <si>
    <t>X.</t>
  </si>
  <si>
    <t>1982:</t>
  </si>
  <si>
    <t>a Resonanzbasis</t>
  </si>
  <si>
    <t>b Resonanzraster (Abstand zwischen Resonanzen)</t>
  </si>
  <si>
    <t xml:space="preserve"> </t>
  </si>
  <si>
    <t>f(N) (1989) Anregerfunktion</t>
  </si>
  <si>
    <t>n1 = K1 - Q1 - 1 angeregte Protosimplexe</t>
  </si>
  <si>
    <r>
      <t xml:space="preserve">(16a) </t>
    </r>
    <r>
      <rPr>
        <b/>
        <sz val="10"/>
        <color indexed="10"/>
        <rFont val="Arial"/>
        <family val="2"/>
      </rPr>
      <t>geändert</t>
    </r>
  </si>
  <si>
    <r>
      <t xml:space="preserve">(16b) </t>
    </r>
    <r>
      <rPr>
        <b/>
        <sz val="10"/>
        <color indexed="10"/>
        <rFont val="Arial"/>
        <family val="2"/>
      </rPr>
      <t>geändert</t>
    </r>
  </si>
  <si>
    <r>
      <t xml:space="preserve">(16c) </t>
    </r>
    <r>
      <rPr>
        <b/>
        <sz val="10"/>
        <color indexed="10"/>
        <rFont val="Arial"/>
        <family val="2"/>
      </rPr>
      <t>geändert</t>
    </r>
  </si>
  <si>
    <r>
      <t xml:space="preserve">(16d) </t>
    </r>
    <r>
      <rPr>
        <b/>
        <sz val="10"/>
        <color indexed="10"/>
        <rFont val="Arial"/>
        <family val="2"/>
      </rPr>
      <t>geändert</t>
    </r>
  </si>
  <si>
    <t>Text nach 15a</t>
  </si>
  <si>
    <t>Kp Protosimplexe gesamt (Mesozone)</t>
  </si>
  <si>
    <t>Ksigv Protosimplexe gesamt (Externzone)</t>
  </si>
  <si>
    <t>k.n</t>
  </si>
  <si>
    <t>k.m</t>
  </si>
  <si>
    <t>k.p</t>
  </si>
  <si>
    <t>k.sigv</t>
  </si>
  <si>
    <t>wn.1</t>
  </si>
  <si>
    <t>wn.2</t>
  </si>
  <si>
    <t>wn.3</t>
  </si>
  <si>
    <t>n.n</t>
  </si>
  <si>
    <t>n.m</t>
  </si>
  <si>
    <t>n.p</t>
  </si>
  <si>
    <t>n.sigma</t>
  </si>
  <si>
    <t>Kn Protosimplexe gesamt (Zentralzone) (1989: +1)</t>
  </si>
  <si>
    <t>Km Protosimplexe gesamt (Internzone) (1989: +1)</t>
  </si>
  <si>
    <r>
      <t>[MeV]</t>
    </r>
    <r>
      <rPr>
        <sz val="10"/>
        <color indexed="60"/>
        <rFont val="Arial"/>
        <family val="2"/>
      </rPr>
      <t xml:space="preserve"> (4)</t>
    </r>
    <r>
      <rPr>
        <b/>
        <sz val="10"/>
        <color indexed="10"/>
        <rFont val="Arial"/>
        <family val="2"/>
      </rPr>
      <t xml:space="preserve"> geändert</t>
    </r>
  </si>
  <si>
    <t>Abweichung in %</t>
  </si>
  <si>
    <t>NN1</t>
  </si>
  <si>
    <t>NN2</t>
  </si>
  <si>
    <t>NN3</t>
  </si>
  <si>
    <t>(5b)</t>
  </si>
  <si>
    <t>(5a)</t>
  </si>
  <si>
    <t>NN5</t>
  </si>
  <si>
    <t>NN6</t>
  </si>
  <si>
    <t>deltaN</t>
  </si>
  <si>
    <t>1 bei N=0, sonst 0</t>
  </si>
  <si>
    <t>z.</t>
  </si>
  <si>
    <t>(21b2)</t>
  </si>
  <si>
    <t>(21b1)</t>
  </si>
  <si>
    <t>U.</t>
  </si>
  <si>
    <t>NN4</t>
  </si>
  <si>
    <t>(21a)</t>
  </si>
  <si>
    <t>fi.</t>
  </si>
  <si>
    <r>
      <t>m</t>
    </r>
    <r>
      <rPr>
        <b/>
        <sz val="10"/>
        <rFont val="Arial"/>
        <family val="2"/>
      </rPr>
      <t>S</t>
    </r>
    <r>
      <rPr>
        <sz val="10"/>
        <rFont val="Arial"/>
      </rPr>
      <t>n</t>
    </r>
  </si>
  <si>
    <r>
      <t>m</t>
    </r>
    <r>
      <rPr>
        <b/>
        <sz val="10"/>
        <rFont val="Arial"/>
        <family val="2"/>
      </rPr>
      <t>G</t>
    </r>
    <r>
      <rPr>
        <sz val="10"/>
        <rFont val="Arial"/>
      </rPr>
      <t>n</t>
    </r>
  </si>
  <si>
    <r>
      <t>m</t>
    </r>
    <r>
      <rPr>
        <b/>
        <sz val="10"/>
        <rFont val="Arial"/>
        <family val="2"/>
      </rPr>
      <t>F</t>
    </r>
    <r>
      <rPr>
        <sz val="10"/>
        <rFont val="Arial"/>
      </rPr>
      <t>n</t>
    </r>
  </si>
  <si>
    <r>
      <t>m</t>
    </r>
    <r>
      <rPr>
        <b/>
        <sz val="10"/>
        <rFont val="Arial"/>
        <family val="2"/>
      </rPr>
      <t>Fi</t>
    </r>
    <r>
      <rPr>
        <sz val="10"/>
        <rFont val="Arial"/>
      </rPr>
      <t>n</t>
    </r>
  </si>
  <si>
    <t>[%] of kgh</t>
  </si>
  <si>
    <r>
      <t xml:space="preserve">Die Anteile K + </t>
    </r>
    <r>
      <rPr>
        <u/>
        <sz val="10"/>
        <rFont val="Arial"/>
        <family val="2"/>
      </rPr>
      <t>G</t>
    </r>
    <r>
      <rPr>
        <sz val="10"/>
        <rFont val="Arial"/>
      </rPr>
      <t xml:space="preserve"> + H (1989: S, G, F) sind Teilmengen der folgenden einfachen Formel:</t>
    </r>
  </si>
  <si>
    <t>Summe:  (S+G+F+Fi)</t>
  </si>
  <si>
    <t>1982: Substitution an</t>
  </si>
  <si>
    <t>1982: Substitution  aq</t>
  </si>
  <si>
    <r>
      <t xml:space="preserve">(5c) </t>
    </r>
    <r>
      <rPr>
        <b/>
        <sz val="10"/>
        <color indexed="10"/>
        <rFont val="Arial"/>
        <family val="2"/>
      </rPr>
      <t>geändert</t>
    </r>
    <r>
      <rPr>
        <sz val="10"/>
        <color indexed="60"/>
        <rFont val="Arial"/>
        <family val="2"/>
      </rPr>
      <t>, (5e)</t>
    </r>
  </si>
  <si>
    <r>
      <t xml:space="preserve">(5d) </t>
    </r>
    <r>
      <rPr>
        <b/>
        <sz val="10"/>
        <color indexed="10"/>
        <rFont val="Arial"/>
        <family val="2"/>
      </rPr>
      <t>geändert</t>
    </r>
  </si>
  <si>
    <t>Lebensdauern der Grundzustände (nur 1989b)</t>
  </si>
  <si>
    <t>Geometrisch ist dies eine zeitartige Begrenzung in der Koordinate x4 des R4</t>
  </si>
  <si>
    <t>Sustitution beta0</t>
  </si>
  <si>
    <t>Substitution D</t>
  </si>
  <si>
    <r>
      <t xml:space="preserve">kgh = K + </t>
    </r>
    <r>
      <rPr>
        <u/>
        <sz val="10"/>
        <rFont val="Arial"/>
        <family val="2"/>
      </rPr>
      <t>G</t>
    </r>
    <r>
      <rPr>
        <sz val="10"/>
        <rFont val="Arial"/>
        <family val="2"/>
      </rPr>
      <t xml:space="preserve"> + H</t>
    </r>
  </si>
  <si>
    <t>Substitution b.2</t>
  </si>
  <si>
    <t>Substitutution b.1</t>
  </si>
  <si>
    <t>beta0</t>
  </si>
  <si>
    <t>b.2</t>
  </si>
  <si>
    <t>b.1</t>
  </si>
  <si>
    <t>D</t>
  </si>
  <si>
    <t>(21f)</t>
  </si>
  <si>
    <t>(21e)</t>
  </si>
  <si>
    <t>Substitution s</t>
  </si>
  <si>
    <t>(21d)</t>
  </si>
  <si>
    <t>Substitution F</t>
  </si>
  <si>
    <t>(21)</t>
  </si>
  <si>
    <t>s.</t>
  </si>
  <si>
    <t>F</t>
  </si>
  <si>
    <t>Substitution y</t>
  </si>
  <si>
    <t>y</t>
  </si>
  <si>
    <t>y.</t>
  </si>
  <si>
    <t>Existenzzeit</t>
  </si>
  <si>
    <t>mass89</t>
  </si>
  <si>
    <t>[s]</t>
  </si>
  <si>
    <r>
      <t xml:space="preserve">(21c) </t>
    </r>
    <r>
      <rPr>
        <b/>
        <sz val="10"/>
        <color indexed="10"/>
        <rFont val="Arial"/>
        <family val="2"/>
      </rPr>
      <t>Case für P=3</t>
    </r>
    <r>
      <rPr>
        <sz val="10"/>
        <color indexed="60"/>
        <rFont val="Arial"/>
        <family val="2"/>
      </rPr>
      <t>, Excel rechnet falsch für P=3</t>
    </r>
  </si>
  <si>
    <r>
      <t>(21h)</t>
    </r>
    <r>
      <rPr>
        <b/>
        <sz val="10"/>
        <color indexed="10"/>
        <rFont val="Arial"/>
        <family val="2"/>
      </rPr>
      <t xml:space="preserve"> Case für P=1, q=0;1</t>
    </r>
  </si>
  <si>
    <t>fn</t>
  </si>
  <si>
    <t>fn.89</t>
  </si>
  <si>
    <t xml:space="preserve">w1 </t>
  </si>
  <si>
    <t xml:space="preserve">Anregung =WN.0*(1 + fn) </t>
  </si>
  <si>
    <t>Tabelle 9: Numerische Korrektur des Exhaustions-Verfahrens</t>
  </si>
  <si>
    <t>OffsetN3</t>
  </si>
  <si>
    <t>OffsetK</t>
  </si>
  <si>
    <t>Mazzone 2009</t>
  </si>
  <si>
    <t>OffsetN3:</t>
  </si>
  <si>
    <t>Kommentar</t>
  </si>
  <si>
    <t>Keine Korrektur</t>
  </si>
  <si>
    <t>OffsetN3 für o++</t>
  </si>
  <si>
    <t>Offset K:</t>
  </si>
  <si>
    <t>N3 = 2 *alf3</t>
  </si>
  <si>
    <t>wn0N</t>
  </si>
  <si>
    <t>(9d)</t>
  </si>
  <si>
    <t>(14e)</t>
  </si>
  <si>
    <t>Lsigma</t>
  </si>
  <si>
    <t>L Limit (Vollbesetzung des Externbereiches mit Anzahl Protosimplexe)</t>
  </si>
  <si>
    <r>
      <t>KB</t>
    </r>
    <r>
      <rPr>
        <sz val="10"/>
        <rFont val="Arial"/>
      </rPr>
      <t xml:space="preserve"> (Bandbreite möglicher Externfeldanregungen des Anregungszustands)</t>
    </r>
  </si>
  <si>
    <t>Gesucht wird die maximal mögliche Anregung Nmax=L(N) (Limit der Anregungen).</t>
  </si>
  <si>
    <t>Gesucht wird dazu der maximal möglichen Anstieg alf1(L1+Q1)**3 für die Zentralzone.</t>
  </si>
  <si>
    <t>Tabelle 1d:</t>
  </si>
  <si>
    <t>kghfig89</t>
  </si>
  <si>
    <t>- (nicht genannt)</t>
  </si>
  <si>
    <t>kgh+Fi (N=0)</t>
  </si>
  <si>
    <t>L.189</t>
  </si>
  <si>
    <t>a.389</t>
  </si>
  <si>
    <t>ra.89</t>
  </si>
  <si>
    <t>da.89</t>
  </si>
  <si>
    <t>sa.89</t>
  </si>
  <si>
    <t>ta.89</t>
  </si>
  <si>
    <t>L.289</t>
  </si>
  <si>
    <t>L.389</t>
  </si>
  <si>
    <t>L.489</t>
  </si>
  <si>
    <t>temp189</t>
  </si>
  <si>
    <t xml:space="preserve">Errechnet wird, ob mehr als 0 zusätzliche Protosimplexe im Externbereich erzeugt werden können. </t>
  </si>
  <si>
    <t>Die Anzahl der Protosimplexe (kgh+Fi) des Grundzustandes musste hier aus Rechengründen aus Tabelle 1d entnommen werden.</t>
  </si>
  <si>
    <t>Strukturparameter der Anregungen (abhängig von ag, bg und Resonanzordnung N)</t>
  </si>
  <si>
    <t>Korrektur (Tabelle 9)</t>
  </si>
  <si>
    <t>K+G+H =0</t>
  </si>
  <si>
    <t>Neutrinomasse ist nur möglich, wenn P+Q geradzahlig.</t>
  </si>
  <si>
    <t>(Fortran Programm von DESY)</t>
  </si>
  <si>
    <r>
      <t xml:space="preserve">In diesem Fall wird </t>
    </r>
    <r>
      <rPr>
        <i/>
        <sz val="10"/>
        <rFont val="Arial"/>
        <family val="2"/>
      </rPr>
      <t xml:space="preserve">S </t>
    </r>
    <r>
      <rPr>
        <sz val="10"/>
        <rFont val="Arial"/>
        <family val="2"/>
      </rPr>
      <t xml:space="preserve">+ </t>
    </r>
    <r>
      <rPr>
        <i/>
        <sz val="10"/>
        <rFont val="Arial"/>
        <family val="2"/>
      </rPr>
      <t xml:space="preserve">G </t>
    </r>
    <r>
      <rPr>
        <sz val="10"/>
        <rFont val="Arial"/>
        <family val="2"/>
      </rPr>
      <t xml:space="preserve">+ </t>
    </r>
    <r>
      <rPr>
        <i/>
        <sz val="10"/>
        <rFont val="Arial"/>
        <family val="2"/>
      </rPr>
      <t>F</t>
    </r>
    <r>
      <rPr>
        <sz val="10"/>
        <rFont val="Arial"/>
        <family val="2"/>
      </rPr>
      <t xml:space="preserve"> = 0 und die ponderable Masse verschwindet.</t>
    </r>
  </si>
  <si>
    <t>F Massenanteil, der durch ni und Qi bewirkt wird</t>
  </si>
  <si>
    <t>G Massenanteil nur durch die Gerüststruktur Qi (Grundzustand)</t>
  </si>
  <si>
    <t xml:space="preserve">  Substitution Z</t>
  </si>
  <si>
    <t xml:space="preserve">  Substitution U</t>
  </si>
  <si>
    <r>
      <t xml:space="preserve">  fi  Selbstkopplungsterm im Grundzustand als Bestandteil von </t>
    </r>
    <r>
      <rPr>
        <i/>
        <sz val="10"/>
        <rFont val="Arial"/>
        <family val="2"/>
      </rPr>
      <t>F</t>
    </r>
  </si>
  <si>
    <t xml:space="preserve">Mit leerer Gerüststruktur gilt dann ni = -Qi für die Protosimplexbesetzungen in allen Zonen. </t>
  </si>
  <si>
    <t>Auch fi bleibt &gt; 0.</t>
  </si>
  <si>
    <t>keV</t>
  </si>
  <si>
    <t>m = amu * fakMeV * alfp * (0 + 0 + 0 + Fi)</t>
  </si>
  <si>
    <t>Zu den Elementarteilchen wird eine äquivalente Neutrinomasse (nur Feldmasse) ausgegeben.</t>
  </si>
  <si>
    <t>Einschränkungen:</t>
  </si>
  <si>
    <t>(Text)</t>
  </si>
  <si>
    <t xml:space="preserve">Ein Teilchen ohne weitere Strukturelemente besitzt intern eine euklidische Metrik. </t>
  </si>
  <si>
    <r>
      <t xml:space="preserve">Masse der Neutrinos (reine Feldmasse bei leerer Gerüststruktur </t>
    </r>
    <r>
      <rPr>
        <b/>
        <i/>
        <sz val="10"/>
        <rFont val="Arial"/>
        <family val="2"/>
      </rPr>
      <t>Ki</t>
    </r>
    <r>
      <rPr>
        <b/>
        <sz val="10"/>
        <rFont val="Arial"/>
        <family val="2"/>
      </rPr>
      <t xml:space="preserve"> = 0)</t>
    </r>
  </si>
  <si>
    <t>Bitte geben Sie oben im Eingabefeld für die Multiplettnummer eine der Neutrinonummern aus Tabelle 1 ein.</t>
  </si>
  <si>
    <t>S Massenanteil nur durch die ni der Anregung</t>
  </si>
  <si>
    <t>m = amu * fakMeV *( alfp * (S+G+F+Fi) + 4*q*alfm)</t>
  </si>
  <si>
    <r>
      <t xml:space="preserve">(9a) </t>
    </r>
    <r>
      <rPr>
        <b/>
        <sz val="10"/>
        <color indexed="10"/>
        <rFont val="Arial"/>
        <family val="2"/>
      </rPr>
      <t>geändert</t>
    </r>
  </si>
  <si>
    <t>temp2 (Schalter, = 0 bei Elektron, = 1 sonst) nur 1982</t>
  </si>
  <si>
    <t>(XXXIV)</t>
  </si>
  <si>
    <t>Überführen von (15a) in die Normalform x**3 + a1x**2 + a2*x + a3 = 0</t>
  </si>
  <si>
    <t>(9b1)</t>
  </si>
  <si>
    <t>(9c)</t>
  </si>
  <si>
    <t>x13</t>
  </si>
  <si>
    <t>x13++++</t>
  </si>
  <si>
    <t>x13+++</t>
  </si>
  <si>
    <t>x13++</t>
  </si>
  <si>
    <t>x13+</t>
  </si>
  <si>
    <t>Das Multiplett x13 ist 1989 wegen (19a) verboten.</t>
  </si>
  <si>
    <t>Die einheitliche Massenformel nach Burkhard Heim 1989 und 1982 (1978)</t>
  </si>
  <si>
    <t>Diese Umsetzung als Excel-Spreadsheet demonstriert die Einfachheit der Heimschen Massenformel.</t>
  </si>
  <si>
    <t>Enthalten ist die Massenformel im Stand von 1989 und von 1982 mit allen Formeln und allen Zwischenergebnissen.</t>
  </si>
  <si>
    <t>Die physikalischen Naturkonstanten dienen der abschließenden Skalierung auf unser Maßsystem.</t>
  </si>
  <si>
    <t>der Drehsinn in der Zeit (Teilchen/Antiteilchen) und die gewünschte Nummer der Resonanz eingegeben werden.</t>
  </si>
  <si>
    <t>ausgelagert. Diese Koeffizienten werden nur in der Massenformel von 1982 verwendet.</t>
  </si>
  <si>
    <t>Wenn sich die Formeln von 1989 von den Formeln 1982 unterscheiden, sind nebeneinander beide Formeln</t>
  </si>
  <si>
    <t>programmiert worden, und der Unterschied des Wertes wird zusätzlich in % angezeigt.</t>
  </si>
  <si>
    <t>In der Statuszeile oben wird dann die gesamte Formel angezeigt.</t>
  </si>
  <si>
    <t>Quellcode in UCSD-Pascal von Burkhard Heim, ca. 1985. (Zum Vergleich herangezogen)</t>
  </si>
  <si>
    <t>Die Formeln im Stand von 1982 sind in diesen beiden Büchern dokumentiert.</t>
  </si>
  <si>
    <t>Gleichung</t>
  </si>
  <si>
    <t>0.27</t>
  </si>
  <si>
    <t>Wert 1982 falls abweichend</t>
  </si>
  <si>
    <t>Möglichkeit der zusätzlichen externen Anregung prüfen (von N abhängig) (nur 1989)</t>
  </si>
  <si>
    <t>neutrino1</t>
  </si>
  <si>
    <t>neutrino2</t>
  </si>
  <si>
    <t>neutrino3</t>
  </si>
  <si>
    <t>neutrino4</t>
  </si>
  <si>
    <t>neutrino5</t>
  </si>
  <si>
    <t>Summe:  (K+G+H+Fi)</t>
  </si>
  <si>
    <t>Anzahl der Unterarten (Komponenten) x=1…I eines Isospinmultipletts(kpQ)</t>
  </si>
  <si>
    <t>linearer Anstieg (Mesozone), f(k, Q)</t>
  </si>
  <si>
    <t xml:space="preserve">N2 = 2/3 alf2 </t>
  </si>
  <si>
    <t xml:space="preserve">N1 = alf1 </t>
  </si>
  <si>
    <t>kubischer Anstieg (Zentralzone), konstant</t>
  </si>
  <si>
    <t>quadratischer Anstieg (Internzone), konstant</t>
  </si>
  <si>
    <t>N'(k) = H - Korrekturterm 2</t>
  </si>
  <si>
    <t>Hilfsfunktion für Resonanzabstände (abhängig von der Feinstrukturkonstante Alfa)</t>
  </si>
  <si>
    <r>
      <t xml:space="preserve">(14a) </t>
    </r>
    <r>
      <rPr>
        <b/>
        <sz val="10"/>
        <color indexed="10"/>
        <rFont val="Arial"/>
        <family val="2"/>
      </rPr>
      <t>geändert</t>
    </r>
  </si>
  <si>
    <r>
      <t>(14b)</t>
    </r>
    <r>
      <rPr>
        <b/>
        <sz val="10"/>
        <color indexed="10"/>
        <rFont val="Arial"/>
        <family val="2"/>
      </rPr>
      <t xml:space="preserve"> geändert</t>
    </r>
  </si>
  <si>
    <r>
      <t>(14b1)</t>
    </r>
    <r>
      <rPr>
        <b/>
        <sz val="10"/>
        <color indexed="10"/>
        <rFont val="Arial"/>
        <family val="2"/>
      </rPr>
      <t xml:space="preserve"> geändert + Korrektur J.M.</t>
    </r>
  </si>
  <si>
    <r>
      <t>(14)</t>
    </r>
    <r>
      <rPr>
        <b/>
        <sz val="10"/>
        <color indexed="10"/>
        <rFont val="Arial"/>
        <family val="2"/>
      </rPr>
      <t xml:space="preserve"> geändert</t>
    </r>
  </si>
  <si>
    <t>Sie ist daher nicht an die aktuell ausgewählten geometrischen Naturkonstanten angepasst.</t>
  </si>
  <si>
    <t>(S + G + F + Fi) für den Grundzustand</t>
  </si>
  <si>
    <t>(K + G + H + Fi)</t>
  </si>
  <si>
    <t xml:space="preserve">Anmerkung: </t>
  </si>
  <si>
    <t>Energieportionen pro Struktureinheit in den drei Zonen:</t>
  </si>
  <si>
    <r>
      <t xml:space="preserve">Falls diese Werte aus </t>
    </r>
    <r>
      <rPr>
        <b/>
        <i/>
        <sz val="10"/>
        <rFont val="Arial"/>
        <family val="2"/>
      </rPr>
      <t>µ</t>
    </r>
    <r>
      <rPr>
        <b/>
        <sz val="10"/>
        <rFont val="Arial"/>
        <family val="2"/>
      </rPr>
      <t xml:space="preserve">0 und </t>
    </r>
    <r>
      <rPr>
        <b/>
        <i/>
        <sz val="10"/>
        <rFont val="Arial"/>
        <family val="2"/>
      </rPr>
      <t>e</t>
    </r>
    <r>
      <rPr>
        <b/>
        <sz val="10"/>
        <rFont val="Arial"/>
        <family val="2"/>
      </rPr>
      <t>0 berechnet werden sollen, geben Sie diese an:</t>
    </r>
  </si>
  <si>
    <t>(2a)</t>
  </si>
  <si>
    <t>(2b)</t>
  </si>
  <si>
    <t>exp() ersetzt durch ebn^(), um Einfluss der numerischen Eingangsgrößen testen zu können</t>
  </si>
  <si>
    <t>2010-02-24</t>
  </si>
  <si>
    <t>2010-03-18</t>
  </si>
  <si>
    <t>0.3</t>
  </si>
  <si>
    <r>
      <t>µ</t>
    </r>
    <r>
      <rPr>
        <sz val="10"/>
        <rFont val="Arial"/>
      </rPr>
      <t xml:space="preserve">0 Induktionskonstante, </t>
    </r>
    <r>
      <rPr>
        <i/>
        <sz val="10"/>
        <rFont val="Arial"/>
        <family val="2"/>
      </rPr>
      <t>e</t>
    </r>
    <r>
      <rPr>
        <sz val="10"/>
        <rFont val="Arial"/>
      </rPr>
      <t>0 Influenzkonstante</t>
    </r>
  </si>
  <si>
    <r>
      <t xml:space="preserve">oder </t>
    </r>
    <r>
      <rPr>
        <i/>
        <sz val="10"/>
        <rFont val="Arial"/>
        <family val="2"/>
      </rPr>
      <t>c</t>
    </r>
    <r>
      <rPr>
        <sz val="10"/>
        <rFont val="Arial"/>
      </rPr>
      <t xml:space="preserve"> Lichtgeschwindigkeit, </t>
    </r>
    <r>
      <rPr>
        <i/>
        <sz val="10"/>
        <rFont val="Arial"/>
        <family val="2"/>
      </rPr>
      <t>Rg</t>
    </r>
    <r>
      <rPr>
        <sz val="10"/>
        <rFont val="Arial"/>
      </rPr>
      <t xml:space="preserve"> Vakuumwellenwiderstand</t>
    </r>
  </si>
  <si>
    <r>
      <t>gamma</t>
    </r>
    <r>
      <rPr>
        <sz val="10"/>
        <rFont val="Arial"/>
      </rPr>
      <t xml:space="preserve"> Newtonsche Gravitationskonstante</t>
    </r>
  </si>
  <si>
    <r>
      <t>hq</t>
    </r>
    <r>
      <rPr>
        <sz val="10"/>
        <rFont val="Arial"/>
      </rPr>
      <t xml:space="preserve"> Plancksches Wirkungsquant</t>
    </r>
  </si>
  <si>
    <r>
      <t xml:space="preserve">Die Zwischenwerte der Koeffizientenmatrix von 1982 wurden der Übersichtlichkeit halber ins Blatt </t>
    </r>
    <r>
      <rPr>
        <sz val="10"/>
        <color indexed="56"/>
        <rFont val="Arial"/>
        <family val="2"/>
      </rPr>
      <t>[Koeffizientenmatrix]</t>
    </r>
    <r>
      <rPr>
        <sz val="10"/>
        <rFont val="Arial"/>
        <family val="2"/>
      </rPr>
      <t xml:space="preserve"> </t>
    </r>
  </si>
  <si>
    <t>Excel kann die Formeln in seinen Datenblättern nur über den Umweg eines Makros speichern.</t>
  </si>
  <si>
    <t>Öffen im Editor unter "Module" das Module1.</t>
  </si>
  <si>
    <t>F: Wie kann ich den Blattschutz aufheben?</t>
  </si>
  <si>
    <t xml:space="preserve">Wenn nötig passe den Pfad an, unter dem die Formeln gespeichert werden sollen. </t>
  </si>
  <si>
    <t>Const Dateiname = "d:\temp\formeln.txt"</t>
  </si>
  <si>
    <t xml:space="preserve">Wenn nötig passe den Namen des gewünschten Arbeitsblattes an. </t>
  </si>
  <si>
    <t>For Each Zelle In Sheets("Tabelle1")</t>
  </si>
  <si>
    <t>Burkhard Heim 1989b; Ausgewählte Ergebnisse einer einheitlichen Quantenfeldtheorie der Materie und Graviation</t>
  </si>
  <si>
    <t>Northeim 1989, Version 0.73 (Massenformel im Stand von 1989 mit Tabellenanhang einiger gerechneter Werte)</t>
  </si>
  <si>
    <t>[6]</t>
  </si>
  <si>
    <t>Vorgeschlagene Korrekturen von Javier Mazzone aus [5], Anhang D</t>
  </si>
  <si>
    <t>Copyright © Olaf Posdzech, 2010, op@engon.de</t>
  </si>
  <si>
    <t>F: Ich möchte die im Massenrechner programmierten Formeln weiter verwenden. Wie kann ich sie speichern?</t>
  </si>
  <si>
    <r>
      <t xml:space="preserve">Drücke [Alt +F11] oder öffne den Visual-Basic-Editor über </t>
    </r>
    <r>
      <rPr>
        <i/>
        <sz val="10"/>
        <rFont val="Arial"/>
        <family val="2"/>
      </rPr>
      <t>Extras &gt; Makro &gt; Visual Basic Editor.</t>
    </r>
  </si>
  <si>
    <t>Drücke nun auf "Abspielen".</t>
  </si>
  <si>
    <t>Elektr. Elementarladung e+- (Wird für die Masse nicht verwendet)</t>
  </si>
  <si>
    <r>
      <t xml:space="preserve">Wählen Sie einen Wert für </t>
    </r>
    <r>
      <rPr>
        <i/>
        <sz val="10"/>
        <rFont val="Arial"/>
        <family val="2"/>
      </rPr>
      <t>my</t>
    </r>
    <r>
      <rPr>
        <sz val="10"/>
        <rFont val="Arial"/>
      </rPr>
      <t xml:space="preserve"> aus Tabelle 6 (Festwert oder berechnet).</t>
    </r>
  </si>
  <si>
    <t>0.</t>
  </si>
  <si>
    <t>In die weißen umrandeten Felder können eigene Werte eingegeben werden.</t>
  </si>
  <si>
    <t>(Wert)</t>
  </si>
  <si>
    <t>in den in der rechten Spalte genannten Gleichungen (nur 1982).</t>
  </si>
  <si>
    <t>Geometrische Skalierungsfaktoren für die Wirkungen der von den Quantenzahlen adressierten multidimensionalen Spins</t>
  </si>
  <si>
    <r>
      <t xml:space="preserve">Im Blatt </t>
    </r>
    <r>
      <rPr>
        <sz val="10"/>
        <color indexed="56"/>
        <rFont val="Arial"/>
        <family val="2"/>
      </rPr>
      <t>[Elementarteilchen]</t>
    </r>
    <r>
      <rPr>
        <sz val="10"/>
        <rFont val="Arial"/>
        <family val="2"/>
      </rPr>
      <t xml:space="preserve"> wird die Massenberechnung durchgeführt. </t>
    </r>
  </si>
  <si>
    <t>Erste Version basierend auf dem "Excel Heim 1982 mass calculator" v0.68.</t>
  </si>
  <si>
    <t>Quantenzahlensätze aus Heim 1989b übernommen.</t>
  </si>
  <si>
    <t>1989 nach Gl (19a) verbotene Teilchen nachgetragen, die 1982 berechnet wurden</t>
  </si>
  <si>
    <t>Erste publizierte Version auf www.engon.de/protosimplex</t>
  </si>
  <si>
    <t>Korrigiert: C (14b1), added neutrinos, da.89</t>
  </si>
  <si>
    <t>Formel 1989b:</t>
  </si>
  <si>
    <t>Formel 1982:</t>
  </si>
  <si>
    <r>
      <t xml:space="preserve">Quantenzahlen N1, N2, N3 (auch abhängig von der Ladungsquantenzahl </t>
    </r>
    <r>
      <rPr>
        <i/>
        <sz val="10"/>
        <rFont val="Arial"/>
        <family val="2"/>
      </rPr>
      <t>kq</t>
    </r>
    <r>
      <rPr>
        <sz val="10"/>
        <rFont val="Arial"/>
        <family val="2"/>
      </rPr>
      <t>)</t>
    </r>
  </si>
  <si>
    <t xml:space="preserve">Wähle eine numerische Korrektur für die Integer-Bildung: </t>
  </si>
  <si>
    <t>Nur 1982: Korrektur bei verbotenem Term (W4 &gt; 1)</t>
  </si>
  <si>
    <r>
      <t xml:space="preserve">Hinweis: </t>
    </r>
    <r>
      <rPr>
        <b/>
        <sz val="10"/>
        <color indexed="10"/>
        <rFont val="Arial"/>
        <family val="2"/>
      </rPr>
      <t>geändert</t>
    </r>
    <r>
      <rPr>
        <sz val="10"/>
        <rFont val="Arial"/>
      </rPr>
      <t xml:space="preserve"> markiert Gleichungen, die sich im Stand von 1989b von der 1982-er Version unterscheiden. </t>
    </r>
  </si>
  <si>
    <t>Masse berechnen aus der Anzahl der trägheitsbehafteten komplexen Spins (zyklische Kondensationen)</t>
  </si>
  <si>
    <t>Kurzform der Massengleichung (nur 1982):</t>
  </si>
  <si>
    <r>
      <t xml:space="preserve">Anregungen können sich auch in einer Änderung des Drehimpulses äußern, so dass sich </t>
    </r>
    <r>
      <rPr>
        <i/>
        <sz val="10"/>
        <rFont val="Arial"/>
        <family val="2"/>
      </rPr>
      <t>Q</t>
    </r>
    <r>
      <rPr>
        <sz val="10"/>
        <rFont val="Arial"/>
      </rPr>
      <t xml:space="preserve"> additiv um gerade Zahlen 2</t>
    </r>
    <r>
      <rPr>
        <i/>
        <sz val="10"/>
        <rFont val="Arial"/>
        <family val="2"/>
      </rPr>
      <t>z</t>
    </r>
    <r>
      <rPr>
        <sz val="10"/>
        <rFont val="Arial"/>
      </rPr>
      <t xml:space="preserve"> erhöht,</t>
    </r>
  </si>
  <si>
    <r>
      <t xml:space="preserve">da </t>
    </r>
    <r>
      <rPr>
        <i/>
        <sz val="10"/>
        <rFont val="Arial"/>
        <family val="2"/>
      </rPr>
      <t>Q</t>
    </r>
    <r>
      <rPr>
        <sz val="10"/>
        <rFont val="Arial"/>
      </rPr>
      <t xml:space="preserve"> ein Ausdruck für den Drehimpuls ist. Jedoch ist </t>
    </r>
    <r>
      <rPr>
        <i/>
        <sz val="10"/>
        <rFont val="Arial"/>
        <family val="2"/>
      </rPr>
      <t>z</t>
    </r>
    <r>
      <rPr>
        <sz val="10"/>
        <rFont val="Arial"/>
      </rPr>
      <t>(</t>
    </r>
    <r>
      <rPr>
        <i/>
        <sz val="10"/>
        <rFont val="Arial"/>
        <family val="2"/>
      </rPr>
      <t>N</t>
    </r>
    <r>
      <rPr>
        <sz val="10"/>
        <rFont val="Arial"/>
      </rPr>
      <t>) noch unbekannt.</t>
    </r>
  </si>
  <si>
    <t>CODATA 2014</t>
  </si>
  <si>
    <t>Heim Formel</t>
  </si>
  <si>
    <t>Tabelle 10: Wert für die Induktionskonstante µ0 (Blatt "Konstante")</t>
  </si>
  <si>
    <t>Tabelle 11: Wert für die Influenz- (elektrische) konstante e0 (Blatt "Konstante")</t>
  </si>
  <si>
    <t>Tabelle 1b_a: Empirische Werte (MeV)</t>
  </si>
  <si>
    <t>aus Tabelle 1b_a</t>
  </si>
  <si>
    <t>eta Meson</t>
  </si>
  <si>
    <t>K+ K-Meson</t>
  </si>
  <si>
    <t>K0 K-Meson</t>
  </si>
  <si>
    <t>e- Elektron</t>
  </si>
  <si>
    <t>my Muon</t>
  </si>
  <si>
    <t>pi+- Pion/pi-Meson</t>
  </si>
  <si>
    <t>pi0 Pion/pi-Meson</t>
  </si>
  <si>
    <t>xi0 Ξ-Baryon</t>
  </si>
  <si>
    <t>xi- Ξ-Baryon</t>
  </si>
  <si>
    <t>sig+ Sigma baryon</t>
  </si>
  <si>
    <t>sig0 Sigma baryon</t>
  </si>
  <si>
    <t>sig- Sigma baryon</t>
  </si>
  <si>
    <t>delt++ Δ-Baryon</t>
  </si>
  <si>
    <t>delt+ Δ-Baryon</t>
  </si>
  <si>
    <t>delt Δ-Baryon</t>
  </si>
  <si>
    <t>delt-Δ-Baryon</t>
  </si>
  <si>
    <t>Vergleich</t>
  </si>
  <si>
    <t>(31)</t>
  </si>
  <si>
    <t>(24)</t>
  </si>
  <si>
    <t>(58)</t>
  </si>
  <si>
    <t>(5)</t>
  </si>
  <si>
    <t>(3)</t>
  </si>
  <si>
    <t>n.a.</t>
  </si>
  <si>
    <t>aus Tabelle 1b_c</t>
  </si>
  <si>
    <t>Abs. Abweichung zum empirischen Messwert</t>
  </si>
  <si>
    <t>(22)</t>
  </si>
  <si>
    <t>p proton</t>
  </si>
  <si>
    <t>n neutron</t>
  </si>
  <si>
    <t>(15)</t>
  </si>
  <si>
    <t>om- Ω-Baryon</t>
  </si>
  <si>
    <t>Lambda Λ-Baryon</t>
  </si>
  <si>
    <t>(29)</t>
  </si>
  <si>
    <t>(11)</t>
  </si>
  <si>
    <t>p Proton</t>
  </si>
  <si>
    <t>n Neutron</t>
  </si>
  <si>
    <t>delt- Δ-Baryon</t>
  </si>
  <si>
    <t>Mass (calculated)</t>
  </si>
  <si>
    <t>Mass (empirical)</t>
  </si>
  <si>
    <t>Deviation (%)</t>
  </si>
  <si>
    <t>Lifetime (calculated)</t>
  </si>
  <si>
    <t>Lifetime (empirical)</t>
  </si>
  <si>
    <t>Abweichung zu 1982</t>
  </si>
  <si>
    <t>CODATA2014/Wikipedia</t>
  </si>
  <si>
    <t>Wiki</t>
  </si>
  <si>
    <t>om- Ω-Baryon/Hyperon</t>
  </si>
  <si>
    <t>xi0 Ξ-Baryon/Hyperon</t>
  </si>
  <si>
    <t>xi- Ξ-Baryon/Hyperon</t>
  </si>
  <si>
    <t>sig+ Sigma baryon/Hyperon</t>
  </si>
  <si>
    <t>sig0 Sigma baryon/Hyperon</t>
  </si>
  <si>
    <t>sig- Sigma baryon/Hyperon</t>
  </si>
  <si>
    <t>Wikipedia</t>
  </si>
  <si>
    <t>https://en.wikipedia.org/wiki/Meson</t>
  </si>
  <si>
    <t>https://en.wikipedia.org/wiki/Delta_baryon</t>
  </si>
  <si>
    <t>https://de.wikipedia.org/wiki/%CE%9B-Baryon</t>
  </si>
  <si>
    <t>Bem.: die englische Variante hat eine leicht andere Existenzzeit (2,631 ...)</t>
  </si>
  <si>
    <t>https://en.wikipedia.org/wiki/Neutron</t>
  </si>
  <si>
    <t>https://de.wikipedia.org/wiki/%CE%9E-Baryon</t>
  </si>
  <si>
    <t>https://en.wikipedia.org/wiki/Sigma_baryon</t>
  </si>
  <si>
    <t>https://en.wikipedia.org/wiki/Omega_baryon</t>
  </si>
  <si>
    <t>Bem.: je nach Wiki-Quelle schwankt die Lebenszeit geringfügig.</t>
  </si>
  <si>
    <t>exakte Formel (4*PI() 10^-7)</t>
  </si>
  <si>
    <t>exakte Formel (1/(µ0 c^2))</t>
  </si>
  <si>
    <t>Tabelle 1b_b: Empirische Werte Existenzzeiten (s)</t>
  </si>
  <si>
    <t>(35)</t>
  </si>
  <si>
    <t>(6)</t>
  </si>
  <si>
    <t>(169</t>
  </si>
  <si>
    <t>https://en.wikipedia.org/wiki/Muon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</si>
</sst>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0.00000000"/>
    <numFmt numFmtId="165" formatCode="0.00000000E+00"/>
    <numFmt numFmtId="166" formatCode="0.000000E+00"/>
    <numFmt numFmtId="167" formatCode="0.0000000000E+00"/>
    <numFmt numFmtId="168" formatCode="0.0000"/>
    <numFmt numFmtId="169" formatCode="0.00000000000000E+00"/>
    <numFmt numFmtId="170" formatCode="0.00000000000000"/>
    <numFmt numFmtId="171" formatCode="0.0000000"/>
    <numFmt numFmtId="172" formatCode="0.00000E+00"/>
    <numFmt numFmtId="173" formatCode="0.0000E+00"/>
    <numFmt numFmtId="174" formatCode="0.000000000000000E+00"/>
    <numFmt numFmtId="175" formatCode="0.000E+00"/>
    <numFmt numFmtId="176" formatCode="0.0E+00"/>
    <numFmt numFmtId="177" formatCode="0.0000000E+00"/>
    <numFmt numFmtId="178" formatCode="0.000"/>
    <numFmt numFmtId="179" formatCode="0.0"/>
    <numFmt numFmtId="180" formatCode="0.0000000000"/>
  </numFmts>
  <fonts count="23">
    <font>
      <sz val="10"/>
      <name val="Arial"/>
    </font>
    <font>
      <b/>
      <sz val="10"/>
      <name val="Arial"/>
      <family val="2"/>
    </font>
    <font>
      <sz val="10"/>
      <color indexed="18"/>
      <name val="Arial"/>
      <family val="2"/>
    </font>
    <font>
      <sz val="10"/>
      <name val="Arial"/>
      <family val="2"/>
    </font>
    <font>
      <sz val="10"/>
      <name val="my"/>
    </font>
    <font>
      <b/>
      <sz val="12"/>
      <name val="Arial"/>
      <family val="2"/>
    </font>
    <font>
      <sz val="10"/>
      <color indexed="55"/>
      <name val="Arial"/>
      <family val="2"/>
    </font>
    <font>
      <b/>
      <sz val="10"/>
      <color indexed="10"/>
      <name val="Arial"/>
      <family val="2"/>
    </font>
    <font>
      <u/>
      <sz val="10"/>
      <name val="Arial"/>
      <family val="2"/>
    </font>
    <font>
      <i/>
      <sz val="10"/>
      <name val="Arial"/>
      <family val="2"/>
    </font>
    <font>
      <sz val="10"/>
      <color indexed="60"/>
      <name val="Arial"/>
      <family val="2"/>
    </font>
    <font>
      <sz val="10"/>
      <color indexed="16"/>
      <name val="Arial"/>
      <family val="2"/>
    </font>
    <font>
      <b/>
      <sz val="10"/>
      <color indexed="18"/>
      <name val="Arial"/>
      <family val="2"/>
    </font>
    <font>
      <b/>
      <sz val="10"/>
      <color indexed="12"/>
      <name val="Arial"/>
      <family val="2"/>
    </font>
    <font>
      <sz val="10"/>
      <color indexed="56"/>
      <name val="Arial"/>
      <family val="2"/>
    </font>
    <font>
      <b/>
      <i/>
      <sz val="10"/>
      <name val="Arial"/>
      <family val="2"/>
    </font>
    <font>
      <sz val="10"/>
      <color indexed="23"/>
      <name val="Arial"/>
      <family val="2"/>
    </font>
    <font>
      <sz val="10"/>
      <color indexed="10"/>
      <name val="Arial"/>
      <family val="2"/>
    </font>
    <font>
      <b/>
      <sz val="10"/>
      <color indexed="23"/>
      <name val="Arial"/>
      <family val="2"/>
    </font>
    <font>
      <sz val="10"/>
      <color indexed="43"/>
      <name val="Arial"/>
      <family val="2"/>
    </font>
    <font>
      <sz val="10"/>
      <color indexed="8"/>
      <name val="Arial"/>
      <family val="2"/>
    </font>
    <font>
      <sz val="10"/>
      <name val="Courier New"/>
      <family val="3"/>
    </font>
    <font>
      <sz val="10"/>
      <color indexed="18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8">
    <xf numFmtId="0" fontId="0" fillId="0" borderId="0" xfId="0"/>
    <xf numFmtId="165" fontId="0" fillId="0" borderId="0" xfId="0" applyNumberFormat="1"/>
    <xf numFmtId="0" fontId="0" fillId="2" borderId="0" xfId="0" applyFill="1"/>
    <xf numFmtId="165" fontId="0" fillId="2" borderId="0" xfId="0" applyNumberFormat="1" applyFill="1"/>
    <xf numFmtId="0" fontId="1" fillId="2" borderId="0" xfId="0" applyFont="1" applyFill="1"/>
    <xf numFmtId="165" fontId="1" fillId="2" borderId="0" xfId="0" applyNumberFormat="1" applyFont="1" applyFill="1" applyAlignment="1">
      <alignment horizontal="right"/>
    </xf>
    <xf numFmtId="0" fontId="0" fillId="3" borderId="0" xfId="0" applyFill="1"/>
    <xf numFmtId="165" fontId="0" fillId="3" borderId="0" xfId="0" applyNumberFormat="1" applyFill="1"/>
    <xf numFmtId="0" fontId="1" fillId="3" borderId="0" xfId="0" applyFont="1" applyFill="1"/>
    <xf numFmtId="0" fontId="0" fillId="2" borderId="0" xfId="0" applyFill="1" applyAlignment="1">
      <alignment horizontal="right"/>
    </xf>
    <xf numFmtId="165" fontId="3" fillId="2" borderId="0" xfId="0" applyNumberFormat="1" applyFont="1" applyFill="1"/>
    <xf numFmtId="49" fontId="0" fillId="2" borderId="0" xfId="0" applyNumberFormat="1" applyFill="1"/>
    <xf numFmtId="49" fontId="0" fillId="0" borderId="0" xfId="0" applyNumberFormat="1"/>
    <xf numFmtId="49" fontId="1" fillId="2" borderId="0" xfId="0" applyNumberFormat="1" applyFont="1" applyFill="1"/>
    <xf numFmtId="49" fontId="0" fillId="2" borderId="0" xfId="0" applyNumberFormat="1" applyFill="1" applyAlignment="1">
      <alignment horizontal="right"/>
    </xf>
    <xf numFmtId="49" fontId="5" fillId="2" borderId="0" xfId="0" applyNumberFormat="1" applyFont="1" applyFill="1"/>
    <xf numFmtId="166" fontId="0" fillId="0" borderId="0" xfId="0" applyNumberFormat="1"/>
    <xf numFmtId="0" fontId="3" fillId="2" borderId="0" xfId="0" applyFont="1" applyFill="1"/>
    <xf numFmtId="0" fontId="6" fillId="2" borderId="0" xfId="0" applyFont="1" applyFill="1"/>
    <xf numFmtId="0" fontId="7" fillId="2" borderId="0" xfId="0" applyFont="1" applyFill="1"/>
    <xf numFmtId="0" fontId="6" fillId="2" borderId="0" xfId="0" applyFont="1" applyFill="1" applyAlignment="1">
      <alignment horizontal="right"/>
    </xf>
    <xf numFmtId="0" fontId="0" fillId="2" borderId="1" xfId="0" applyFill="1" applyBorder="1"/>
    <xf numFmtId="0" fontId="0" fillId="4" borderId="0" xfId="0" applyFill="1"/>
    <xf numFmtId="0" fontId="0" fillId="5" borderId="0" xfId="0" applyFill="1"/>
    <xf numFmtId="0" fontId="0" fillId="6" borderId="0" xfId="0" applyFill="1"/>
    <xf numFmtId="49" fontId="0" fillId="2" borderId="0" xfId="0" applyNumberFormat="1" applyFill="1" applyAlignment="1">
      <alignment horizontal="left"/>
    </xf>
    <xf numFmtId="166" fontId="3" fillId="6" borderId="0" xfId="0" applyNumberFormat="1" applyFont="1" applyFill="1"/>
    <xf numFmtId="166" fontId="0" fillId="6" borderId="0" xfId="0" applyNumberFormat="1" applyFill="1"/>
    <xf numFmtId="0" fontId="2" fillId="2" borderId="0" xfId="0" applyFont="1" applyFill="1"/>
    <xf numFmtId="0" fontId="3" fillId="2" borderId="0" xfId="0" applyFont="1" applyFill="1" applyAlignment="1">
      <alignment horizontal="right"/>
    </xf>
    <xf numFmtId="166" fontId="3" fillId="2" borderId="0" xfId="0" applyNumberFormat="1" applyFont="1" applyFill="1" applyAlignment="1">
      <alignment horizontal="right"/>
    </xf>
    <xf numFmtId="0" fontId="0" fillId="7" borderId="0" xfId="0" applyFill="1"/>
    <xf numFmtId="0" fontId="6" fillId="2" borderId="0" xfId="0" applyFont="1" applyFill="1" applyAlignment="1">
      <alignment wrapText="1"/>
    </xf>
    <xf numFmtId="0" fontId="1" fillId="3" borderId="0" xfId="0" applyFont="1" applyFill="1" applyAlignment="1">
      <alignment horizontal="right"/>
    </xf>
    <xf numFmtId="0" fontId="0" fillId="2" borderId="0" xfId="0" applyFill="1" applyAlignment="1">
      <alignment horizontal="right" wrapText="1"/>
    </xf>
    <xf numFmtId="0" fontId="6" fillId="2" borderId="0" xfId="0" applyFont="1" applyFill="1" applyAlignment="1">
      <alignment horizontal="right" wrapText="1"/>
    </xf>
    <xf numFmtId="0" fontId="0" fillId="0" borderId="0" xfId="0" applyAlignment="1">
      <alignment horizontal="right"/>
    </xf>
    <xf numFmtId="0" fontId="1" fillId="3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9" fillId="2" borderId="0" xfId="0" applyFont="1" applyFill="1"/>
    <xf numFmtId="0" fontId="10" fillId="2" borderId="0" xfId="0" applyFont="1" applyFill="1" applyAlignment="1">
      <alignment horizontal="left"/>
    </xf>
    <xf numFmtId="0" fontId="1" fillId="2" borderId="1" xfId="0" applyFont="1" applyFill="1" applyBorder="1"/>
    <xf numFmtId="0" fontId="3" fillId="5" borderId="0" xfId="0" applyFont="1" applyFill="1"/>
    <xf numFmtId="0" fontId="1" fillId="2" borderId="0" xfId="0" applyFont="1" applyFill="1" applyAlignment="1">
      <alignment horizontal="right"/>
    </xf>
    <xf numFmtId="168" fontId="0" fillId="2" borderId="0" xfId="0" applyNumberFormat="1" applyFill="1"/>
    <xf numFmtId="0" fontId="12" fillId="0" borderId="2" xfId="0" applyFont="1" applyBorder="1" applyProtection="1">
      <protection locked="0"/>
    </xf>
    <xf numFmtId="49" fontId="0" fillId="8" borderId="0" xfId="0" applyNumberFormat="1" applyFill="1"/>
    <xf numFmtId="49" fontId="9" fillId="8" borderId="0" xfId="0" applyNumberFormat="1" applyFont="1" applyFill="1"/>
    <xf numFmtId="49" fontId="9" fillId="2" borderId="0" xfId="0" applyNumberFormat="1" applyFont="1" applyFill="1"/>
    <xf numFmtId="49" fontId="1" fillId="3" borderId="0" xfId="0" applyNumberFormat="1" applyFont="1" applyFill="1"/>
    <xf numFmtId="0" fontId="11" fillId="2" borderId="0" xfId="0" applyFont="1" applyFill="1"/>
    <xf numFmtId="0" fontId="3" fillId="2" borderId="0" xfId="0" applyFont="1" applyFill="1" applyAlignment="1">
      <alignment wrapText="1"/>
    </xf>
    <xf numFmtId="2" fontId="6" fillId="2" borderId="0" xfId="0" applyNumberFormat="1" applyFont="1" applyFill="1" applyAlignment="1">
      <alignment wrapText="1"/>
    </xf>
    <xf numFmtId="0" fontId="0" fillId="2" borderId="3" xfId="0" applyFill="1" applyBorder="1" applyAlignment="1">
      <alignment horizontal="right"/>
    </xf>
    <xf numFmtId="0" fontId="0" fillId="2" borderId="4" xfId="0" applyFill="1" applyBorder="1"/>
    <xf numFmtId="0" fontId="0" fillId="2" borderId="1" xfId="0" applyFill="1" applyBorder="1" applyAlignment="1">
      <alignment horizontal="right"/>
    </xf>
    <xf numFmtId="0" fontId="1" fillId="2" borderId="0" xfId="0" applyFont="1" applyFill="1" applyAlignment="1">
      <alignment horizontal="left"/>
    </xf>
    <xf numFmtId="0" fontId="7" fillId="2" borderId="0" xfId="0" applyFont="1" applyFill="1" applyAlignment="1">
      <alignment horizontal="left"/>
    </xf>
    <xf numFmtId="0" fontId="0" fillId="7" borderId="0" xfId="0" applyFill="1" applyAlignment="1">
      <alignment wrapText="1"/>
    </xf>
    <xf numFmtId="0" fontId="3" fillId="2" borderId="0" xfId="0" applyFont="1" applyFill="1" applyAlignment="1">
      <alignment horizontal="left"/>
    </xf>
    <xf numFmtId="0" fontId="1" fillId="6" borderId="5" xfId="0" applyFont="1" applyFill="1" applyBorder="1" applyAlignment="1">
      <alignment horizontal="right"/>
    </xf>
    <xf numFmtId="0" fontId="1" fillId="6" borderId="6" xfId="0" applyFont="1" applyFill="1" applyBorder="1" applyAlignment="1">
      <alignment horizontal="left"/>
    </xf>
    <xf numFmtId="0" fontId="1" fillId="6" borderId="6" xfId="0" applyFont="1" applyFill="1" applyBorder="1" applyAlignment="1">
      <alignment horizontal="right"/>
    </xf>
    <xf numFmtId="0" fontId="1" fillId="6" borderId="7" xfId="0" applyFont="1" applyFill="1" applyBorder="1" applyAlignment="1">
      <alignment horizontal="right"/>
    </xf>
    <xf numFmtId="0" fontId="1" fillId="6" borderId="2" xfId="0" applyFont="1" applyFill="1" applyBorder="1" applyAlignment="1">
      <alignment horizontal="right"/>
    </xf>
    <xf numFmtId="0" fontId="1" fillId="6" borderId="2" xfId="0" applyFont="1" applyFill="1" applyBorder="1"/>
    <xf numFmtId="0" fontId="1" fillId="6" borderId="6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0" fillId="0" borderId="8" xfId="0" applyBorder="1"/>
    <xf numFmtId="0" fontId="0" fillId="4" borderId="3" xfId="0" applyFill="1" applyBorder="1" applyAlignment="1">
      <alignment horizontal="left"/>
    </xf>
    <xf numFmtId="0" fontId="0" fillId="0" borderId="3" xfId="0" applyBorder="1"/>
    <xf numFmtId="0" fontId="11" fillId="0" borderId="3" xfId="0" applyFont="1" applyBorder="1"/>
    <xf numFmtId="0" fontId="11" fillId="0" borderId="9" xfId="0" applyFont="1" applyBorder="1"/>
    <xf numFmtId="0" fontId="0" fillId="0" borderId="4" xfId="0" applyBorder="1"/>
    <xf numFmtId="0" fontId="0" fillId="0" borderId="10" xfId="0" applyBorder="1"/>
    <xf numFmtId="2" fontId="0" fillId="8" borderId="11" xfId="0" applyNumberFormat="1" applyFill="1" applyBorder="1" applyAlignment="1">
      <alignment horizontal="right"/>
    </xf>
    <xf numFmtId="0" fontId="3" fillId="0" borderId="4" xfId="0" applyFont="1" applyBorder="1"/>
    <xf numFmtId="0" fontId="0" fillId="0" borderId="12" xfId="0" applyBorder="1"/>
    <xf numFmtId="164" fontId="0" fillId="0" borderId="0" xfId="0" applyNumberFormat="1"/>
    <xf numFmtId="164" fontId="0" fillId="0" borderId="12" xfId="0" applyNumberFormat="1" applyBorder="1"/>
    <xf numFmtId="0" fontId="0" fillId="3" borderId="3" xfId="0" applyFill="1" applyBorder="1"/>
    <xf numFmtId="0" fontId="11" fillId="3" borderId="3" xfId="0" applyFont="1" applyFill="1" applyBorder="1"/>
    <xf numFmtId="0" fontId="11" fillId="3" borderId="9" xfId="0" applyFont="1" applyFill="1" applyBorder="1"/>
    <xf numFmtId="0" fontId="0" fillId="3" borderId="8" xfId="0" applyFill="1" applyBorder="1"/>
    <xf numFmtId="0" fontId="0" fillId="3" borderId="9" xfId="0" applyFill="1" applyBorder="1"/>
    <xf numFmtId="2" fontId="0" fillId="3" borderId="11" xfId="0" applyNumberFormat="1" applyFill="1" applyBorder="1" applyAlignment="1">
      <alignment horizontal="right"/>
    </xf>
    <xf numFmtId="0" fontId="0" fillId="0" borderId="13" xfId="0" applyBorder="1"/>
    <xf numFmtId="0" fontId="0" fillId="4" borderId="1" xfId="0" applyFill="1" applyBorder="1" applyAlignment="1">
      <alignment horizontal="left"/>
    </xf>
    <xf numFmtId="0" fontId="0" fillId="3" borderId="1" xfId="0" applyFill="1" applyBorder="1"/>
    <xf numFmtId="0" fontId="11" fillId="3" borderId="1" xfId="0" applyFont="1" applyFill="1" applyBorder="1"/>
    <xf numFmtId="0" fontId="11" fillId="3" borderId="14" xfId="0" applyFont="1" applyFill="1" applyBorder="1"/>
    <xf numFmtId="0" fontId="0" fillId="3" borderId="13" xfId="0" applyFill="1" applyBorder="1"/>
    <xf numFmtId="0" fontId="0" fillId="3" borderId="14" xfId="0" applyFill="1" applyBorder="1"/>
    <xf numFmtId="2" fontId="0" fillId="3" borderId="15" xfId="0" applyNumberFormat="1" applyFill="1" applyBorder="1" applyAlignment="1">
      <alignment horizontal="right"/>
    </xf>
    <xf numFmtId="0" fontId="0" fillId="4" borderId="0" xfId="0" applyFill="1" applyAlignment="1">
      <alignment horizontal="left"/>
    </xf>
    <xf numFmtId="0" fontId="11" fillId="0" borderId="0" xfId="0" applyFont="1"/>
    <xf numFmtId="0" fontId="11" fillId="0" borderId="10" xfId="0" applyFont="1" applyBorder="1"/>
    <xf numFmtId="2" fontId="0" fillId="0" borderId="12" xfId="0" applyNumberFormat="1" applyBorder="1" applyAlignment="1">
      <alignment horizontal="right"/>
    </xf>
    <xf numFmtId="0" fontId="3" fillId="0" borderId="13" xfId="0" applyFont="1" applyBorder="1"/>
    <xf numFmtId="164" fontId="0" fillId="0" borderId="1" xfId="0" applyNumberFormat="1" applyBorder="1"/>
    <xf numFmtId="164" fontId="0" fillId="0" borderId="15" xfId="0" applyNumberFormat="1" applyBorder="1"/>
    <xf numFmtId="0" fontId="0" fillId="10" borderId="6" xfId="0" applyFill="1" applyBorder="1" applyAlignment="1">
      <alignment horizontal="left"/>
    </xf>
    <xf numFmtId="0" fontId="0" fillId="3" borderId="6" xfId="0" applyFill="1" applyBorder="1"/>
    <xf numFmtId="0" fontId="11" fillId="3" borderId="6" xfId="0" applyFont="1" applyFill="1" applyBorder="1"/>
    <xf numFmtId="0" fontId="11" fillId="3" borderId="7" xfId="0" applyFont="1" applyFill="1" applyBorder="1"/>
    <xf numFmtId="0" fontId="0" fillId="3" borderId="5" xfId="0" applyFill="1" applyBorder="1"/>
    <xf numFmtId="0" fontId="0" fillId="3" borderId="7" xfId="0" applyFill="1" applyBorder="1"/>
    <xf numFmtId="2" fontId="0" fillId="3" borderId="2" xfId="0" applyNumberFormat="1" applyFill="1" applyBorder="1" applyAlignment="1">
      <alignment horizontal="right"/>
    </xf>
    <xf numFmtId="0" fontId="0" fillId="10" borderId="0" xfId="0" applyFill="1" applyAlignment="1">
      <alignment horizontal="left"/>
    </xf>
    <xf numFmtId="0" fontId="0" fillId="10" borderId="3" xfId="0" applyFill="1" applyBorder="1" applyAlignment="1">
      <alignment horizontal="left"/>
    </xf>
    <xf numFmtId="0" fontId="1" fillId="6" borderId="5" xfId="0" applyFont="1" applyFill="1" applyBorder="1"/>
    <xf numFmtId="0" fontId="0" fillId="6" borderId="6" xfId="0" applyFill="1" applyBorder="1"/>
    <xf numFmtId="0" fontId="0" fillId="6" borderId="7" xfId="0" applyFill="1" applyBorder="1"/>
    <xf numFmtId="0" fontId="0" fillId="8" borderId="0" xfId="0" applyFill="1"/>
    <xf numFmtId="0" fontId="0" fillId="10" borderId="1" xfId="0" applyFill="1" applyBorder="1" applyAlignment="1">
      <alignment horizontal="left"/>
    </xf>
    <xf numFmtId="0" fontId="0" fillId="8" borderId="4" xfId="0" applyFill="1" applyBorder="1"/>
    <xf numFmtId="0" fontId="0" fillId="8" borderId="10" xfId="0" applyFill="1" applyBorder="1"/>
    <xf numFmtId="0" fontId="11" fillId="3" borderId="0" xfId="0" applyFont="1" applyFill="1"/>
    <xf numFmtId="0" fontId="11" fillId="3" borderId="10" xfId="0" applyFont="1" applyFill="1" applyBorder="1"/>
    <xf numFmtId="0" fontId="0" fillId="3" borderId="4" xfId="0" applyFill="1" applyBorder="1"/>
    <xf numFmtId="0" fontId="0" fillId="3" borderId="10" xfId="0" applyFill="1" applyBorder="1"/>
    <xf numFmtId="2" fontId="0" fillId="3" borderId="12" xfId="0" applyNumberFormat="1" applyFill="1" applyBorder="1" applyAlignment="1">
      <alignment horizontal="right"/>
    </xf>
    <xf numFmtId="0" fontId="0" fillId="8" borderId="1" xfId="0" applyFill="1" applyBorder="1"/>
    <xf numFmtId="0" fontId="0" fillId="8" borderId="14" xfId="0" applyFill="1" applyBorder="1"/>
    <xf numFmtId="169" fontId="0" fillId="0" borderId="0" xfId="0" applyNumberFormat="1"/>
    <xf numFmtId="169" fontId="0" fillId="0" borderId="12" xfId="0" applyNumberFormat="1" applyBorder="1"/>
    <xf numFmtId="169" fontId="3" fillId="0" borderId="0" xfId="0" applyNumberFormat="1" applyFont="1"/>
    <xf numFmtId="169" fontId="0" fillId="2" borderId="0" xfId="0" applyNumberFormat="1" applyFill="1"/>
    <xf numFmtId="169" fontId="0" fillId="3" borderId="0" xfId="0" applyNumberFormat="1" applyFill="1"/>
    <xf numFmtId="169" fontId="3" fillId="3" borderId="0" xfId="0" applyNumberFormat="1" applyFont="1" applyFill="1"/>
    <xf numFmtId="0" fontId="0" fillId="0" borderId="11" xfId="0" applyBorder="1"/>
    <xf numFmtId="169" fontId="0" fillId="0" borderId="9" xfId="0" applyNumberFormat="1" applyBorder="1"/>
    <xf numFmtId="169" fontId="0" fillId="0" borderId="10" xfId="0" applyNumberFormat="1" applyBorder="1"/>
    <xf numFmtId="0" fontId="1" fillId="6" borderId="8" xfId="0" applyFont="1" applyFill="1" applyBorder="1" applyAlignment="1">
      <alignment horizontal="right"/>
    </xf>
    <xf numFmtId="0" fontId="1" fillId="6" borderId="11" xfId="0" applyFont="1" applyFill="1" applyBorder="1"/>
    <xf numFmtId="169" fontId="0" fillId="0" borderId="10" xfId="0" applyNumberFormat="1" applyBorder="1" applyAlignment="1">
      <alignment wrapText="1"/>
    </xf>
    <xf numFmtId="0" fontId="12" fillId="2" borderId="0" xfId="0" applyFont="1" applyFill="1"/>
    <xf numFmtId="165" fontId="4" fillId="2" borderId="0" xfId="0" applyNumberFormat="1" applyFont="1" applyFill="1"/>
    <xf numFmtId="49" fontId="13" fillId="2" borderId="0" xfId="0" applyNumberFormat="1" applyFont="1" applyFill="1"/>
    <xf numFmtId="169" fontId="2" fillId="0" borderId="2" xfId="0" applyNumberFormat="1" applyFont="1" applyBorder="1" applyProtection="1">
      <protection locked="0"/>
    </xf>
    <xf numFmtId="49" fontId="3" fillId="2" borderId="0" xfId="0" applyNumberFormat="1" applyFont="1" applyFill="1"/>
    <xf numFmtId="170" fontId="0" fillId="0" borderId="9" xfId="0" applyNumberFormat="1" applyBorder="1"/>
    <xf numFmtId="170" fontId="0" fillId="0" borderId="10" xfId="0" applyNumberFormat="1" applyBorder="1"/>
    <xf numFmtId="170" fontId="0" fillId="0" borderId="10" xfId="0" applyNumberFormat="1" applyBorder="1" applyAlignment="1">
      <alignment wrapText="1"/>
    </xf>
    <xf numFmtId="169" fontId="3" fillId="2" borderId="0" xfId="0" applyNumberFormat="1" applyFont="1" applyFill="1"/>
    <xf numFmtId="0" fontId="2" fillId="0" borderId="2" xfId="0" applyFont="1" applyBorder="1" applyProtection="1">
      <protection locked="0"/>
    </xf>
    <xf numFmtId="165" fontId="3" fillId="2" borderId="0" xfId="0" applyNumberFormat="1" applyFont="1" applyFill="1" applyAlignment="1">
      <alignment horizontal="right"/>
    </xf>
    <xf numFmtId="165" fontId="3" fillId="2" borderId="0" xfId="0" applyNumberFormat="1" applyFont="1" applyFill="1" applyAlignment="1">
      <alignment horizontal="left"/>
    </xf>
    <xf numFmtId="0" fontId="2" fillId="0" borderId="15" xfId="0" applyFont="1" applyBorder="1" applyProtection="1">
      <protection locked="0"/>
    </xf>
    <xf numFmtId="169" fontId="2" fillId="0" borderId="14" xfId="0" applyNumberFormat="1" applyFont="1" applyBorder="1" applyProtection="1">
      <protection locked="0"/>
    </xf>
    <xf numFmtId="169" fontId="3" fillId="6" borderId="0" xfId="0" applyNumberFormat="1" applyFont="1" applyFill="1"/>
    <xf numFmtId="169" fontId="4" fillId="6" borderId="0" xfId="0" applyNumberFormat="1" applyFont="1" applyFill="1"/>
    <xf numFmtId="169" fontId="0" fillId="8" borderId="0" xfId="0" applyNumberFormat="1" applyFill="1"/>
    <xf numFmtId="169" fontId="3" fillId="8" borderId="0" xfId="0" applyNumberFormat="1" applyFont="1" applyFill="1" applyProtection="1">
      <protection locked="0"/>
    </xf>
    <xf numFmtId="0" fontId="2" fillId="0" borderId="12" xfId="0" applyFont="1" applyBorder="1" applyProtection="1">
      <protection locked="0"/>
    </xf>
    <xf numFmtId="0" fontId="2" fillId="8" borderId="13" xfId="0" applyFont="1" applyFill="1" applyBorder="1" applyProtection="1">
      <protection locked="0"/>
    </xf>
    <xf numFmtId="49" fontId="10" fillId="2" borderId="0" xfId="0" applyNumberFormat="1" applyFont="1" applyFill="1" applyAlignment="1">
      <alignment horizontal="left"/>
    </xf>
    <xf numFmtId="49" fontId="0" fillId="2" borderId="1" xfId="0" applyNumberFormat="1" applyFill="1" applyBorder="1" applyAlignment="1">
      <alignment horizontal="left"/>
    </xf>
    <xf numFmtId="49" fontId="10" fillId="2" borderId="1" xfId="0" applyNumberFormat="1" applyFont="1" applyFill="1" applyBorder="1" applyAlignment="1">
      <alignment horizontal="left"/>
    </xf>
    <xf numFmtId="49" fontId="3" fillId="2" borderId="0" xfId="0" applyNumberFormat="1" applyFont="1" applyFill="1" applyAlignment="1">
      <alignment horizontal="left"/>
    </xf>
    <xf numFmtId="49" fontId="10" fillId="2" borderId="10" xfId="0" applyNumberFormat="1" applyFont="1" applyFill="1" applyBorder="1" applyAlignment="1">
      <alignment horizontal="left"/>
    </xf>
    <xf numFmtId="49" fontId="6" fillId="2" borderId="0" xfId="0" applyNumberFormat="1" applyFont="1" applyFill="1" applyAlignment="1">
      <alignment horizontal="left"/>
    </xf>
    <xf numFmtId="0" fontId="16" fillId="2" borderId="0" xfId="0" applyFont="1" applyFill="1"/>
    <xf numFmtId="0" fontId="10" fillId="2" borderId="0" xfId="0" applyFont="1" applyFill="1"/>
    <xf numFmtId="0" fontId="7" fillId="3" borderId="0" xfId="0" applyFont="1" applyFill="1"/>
    <xf numFmtId="49" fontId="17" fillId="2" borderId="0" xfId="0" applyNumberFormat="1" applyFont="1" applyFill="1" applyAlignment="1">
      <alignment horizontal="left"/>
    </xf>
    <xf numFmtId="0" fontId="16" fillId="2" borderId="0" xfId="0" applyFont="1" applyFill="1" applyAlignment="1">
      <alignment wrapText="1"/>
    </xf>
    <xf numFmtId="0" fontId="16" fillId="2" borderId="4" xfId="0" applyFont="1" applyFill="1" applyBorder="1"/>
    <xf numFmtId="0" fontId="18" fillId="2" borderId="0" xfId="0" applyFont="1" applyFill="1"/>
    <xf numFmtId="49" fontId="7" fillId="11" borderId="0" xfId="0" applyNumberFormat="1" applyFont="1" applyFill="1" applyAlignment="1">
      <alignment horizontal="left"/>
    </xf>
    <xf numFmtId="49" fontId="17" fillId="11" borderId="0" xfId="0" applyNumberFormat="1" applyFont="1" applyFill="1" applyAlignment="1">
      <alignment horizontal="left"/>
    </xf>
    <xf numFmtId="0" fontId="0" fillId="11" borderId="3" xfId="0" applyFill="1" applyBorder="1" applyAlignment="1">
      <alignment horizontal="left"/>
    </xf>
    <xf numFmtId="0" fontId="0" fillId="11" borderId="0" xfId="0" applyFill="1" applyAlignment="1">
      <alignment horizontal="left"/>
    </xf>
    <xf numFmtId="0" fontId="0" fillId="0" borderId="9" xfId="0" applyBorder="1"/>
    <xf numFmtId="0" fontId="0" fillId="0" borderId="14" xfId="0" applyBorder="1"/>
    <xf numFmtId="2" fontId="0" fillId="0" borderId="11" xfId="0" applyNumberFormat="1" applyBorder="1" applyAlignment="1">
      <alignment horizontal="right"/>
    </xf>
    <xf numFmtId="2" fontId="0" fillId="0" borderId="15" xfId="0" applyNumberFormat="1" applyBorder="1" applyAlignment="1">
      <alignment horizontal="right"/>
    </xf>
    <xf numFmtId="0" fontId="0" fillId="0" borderId="1" xfId="0" applyBorder="1"/>
    <xf numFmtId="0" fontId="11" fillId="0" borderId="1" xfId="0" applyFont="1" applyBorder="1"/>
    <xf numFmtId="0" fontId="11" fillId="0" borderId="14" xfId="0" applyFont="1" applyBorder="1"/>
    <xf numFmtId="0" fontId="0" fillId="11" borderId="0" xfId="0" applyFill="1"/>
    <xf numFmtId="49" fontId="6" fillId="2" borderId="0" xfId="0" applyNumberFormat="1" applyFont="1" applyFill="1"/>
    <xf numFmtId="49" fontId="6" fillId="3" borderId="0" xfId="0" applyNumberFormat="1" applyFont="1" applyFill="1" applyAlignment="1">
      <alignment horizontal="right"/>
    </xf>
    <xf numFmtId="0" fontId="6" fillId="3" borderId="4" xfId="0" applyFont="1" applyFill="1" applyBorder="1"/>
    <xf numFmtId="0" fontId="6" fillId="3" borderId="0" xfId="0" applyFont="1" applyFill="1"/>
    <xf numFmtId="0" fontId="6" fillId="3" borderId="0" xfId="0" applyFont="1" applyFill="1" applyAlignment="1">
      <alignment horizontal="right"/>
    </xf>
    <xf numFmtId="49" fontId="10" fillId="3" borderId="0" xfId="0" applyNumberFormat="1" applyFont="1" applyFill="1" applyAlignment="1">
      <alignment horizontal="left"/>
    </xf>
    <xf numFmtId="0" fontId="16" fillId="3" borderId="0" xfId="0" applyFont="1" applyFill="1"/>
    <xf numFmtId="0" fontId="16" fillId="3" borderId="4" xfId="0" applyFont="1" applyFill="1" applyBorder="1"/>
    <xf numFmtId="0" fontId="0" fillId="3" borderId="0" xfId="0" applyFill="1" applyAlignment="1">
      <alignment horizontal="right"/>
    </xf>
    <xf numFmtId="49" fontId="0" fillId="3" borderId="0" xfId="0" applyNumberFormat="1" applyFill="1"/>
    <xf numFmtId="49" fontId="0" fillId="12" borderId="0" xfId="0" applyNumberFormat="1" applyFill="1"/>
    <xf numFmtId="49" fontId="1" fillId="12" borderId="0" xfId="0" applyNumberFormat="1" applyFont="1" applyFill="1"/>
    <xf numFmtId="0" fontId="0" fillId="12" borderId="0" xfId="0" applyFill="1"/>
    <xf numFmtId="0" fontId="0" fillId="12" borderId="0" xfId="0" applyFill="1" applyAlignment="1">
      <alignment horizontal="right"/>
    </xf>
    <xf numFmtId="49" fontId="17" fillId="12" borderId="0" xfId="0" applyNumberFormat="1" applyFont="1" applyFill="1" applyAlignment="1">
      <alignment horizontal="left"/>
    </xf>
    <xf numFmtId="49" fontId="10" fillId="12" borderId="0" xfId="0" applyNumberFormat="1" applyFont="1" applyFill="1" applyAlignment="1">
      <alignment horizontal="left"/>
    </xf>
    <xf numFmtId="0" fontId="3" fillId="2" borderId="4" xfId="0" applyFont="1" applyFill="1" applyBorder="1"/>
    <xf numFmtId="0" fontId="0" fillId="2" borderId="1" xfId="0" applyFill="1" applyBorder="1" applyAlignment="1">
      <alignment horizontal="left"/>
    </xf>
    <xf numFmtId="0" fontId="16" fillId="5" borderId="0" xfId="0" applyFont="1" applyFill="1"/>
    <xf numFmtId="0" fontId="1" fillId="6" borderId="0" xfId="0" applyFont="1" applyFill="1"/>
    <xf numFmtId="0" fontId="1" fillId="7" borderId="0" xfId="0" applyFont="1" applyFill="1"/>
    <xf numFmtId="0" fontId="1" fillId="4" borderId="0" xfId="0" applyFont="1" applyFill="1"/>
    <xf numFmtId="0" fontId="1" fillId="5" borderId="0" xfId="0" applyFont="1" applyFill="1"/>
    <xf numFmtId="171" fontId="0" fillId="2" borderId="0" xfId="0" applyNumberFormat="1" applyFill="1"/>
    <xf numFmtId="0" fontId="6" fillId="2" borderId="13" xfId="0" applyFont="1" applyFill="1" applyBorder="1"/>
    <xf numFmtId="0" fontId="6" fillId="2" borderId="1" xfId="0" applyFont="1" applyFill="1" applyBorder="1" applyAlignment="1">
      <alignment horizontal="right" wrapText="1"/>
    </xf>
    <xf numFmtId="49" fontId="10" fillId="2" borderId="14" xfId="0" applyNumberFormat="1" applyFont="1" applyFill="1" applyBorder="1" applyAlignment="1">
      <alignment horizontal="left"/>
    </xf>
    <xf numFmtId="0" fontId="6" fillId="2" borderId="0" xfId="0" applyFont="1" applyFill="1" applyAlignment="1">
      <alignment horizontal="left" wrapText="1"/>
    </xf>
    <xf numFmtId="0" fontId="0" fillId="2" borderId="8" xfId="0" applyFill="1" applyBorder="1"/>
    <xf numFmtId="0" fontId="1" fillId="2" borderId="3" xfId="0" applyFont="1" applyFill="1" applyBorder="1"/>
    <xf numFmtId="49" fontId="10" fillId="2" borderId="9" xfId="0" applyNumberFormat="1" applyFont="1" applyFill="1" applyBorder="1" applyAlignment="1">
      <alignment horizontal="left"/>
    </xf>
    <xf numFmtId="49" fontId="1" fillId="2" borderId="0" xfId="0" applyNumberFormat="1" applyFont="1" applyFill="1" applyAlignment="1">
      <alignment horizontal="right"/>
    </xf>
    <xf numFmtId="49" fontId="16" fillId="2" borderId="0" xfId="0" applyNumberFormat="1" applyFont="1" applyFill="1" applyAlignment="1">
      <alignment horizontal="right"/>
    </xf>
    <xf numFmtId="0" fontId="1" fillId="2" borderId="0" xfId="0" applyFont="1" applyFill="1" applyAlignment="1">
      <alignment wrapText="1"/>
    </xf>
    <xf numFmtId="0" fontId="19" fillId="2" borderId="0" xfId="0" applyFont="1" applyFill="1"/>
    <xf numFmtId="0" fontId="12" fillId="8" borderId="2" xfId="0" applyFont="1" applyFill="1" applyBorder="1" applyProtection="1">
      <protection locked="0"/>
    </xf>
    <xf numFmtId="49" fontId="3" fillId="2" borderId="0" xfId="0" applyNumberFormat="1" applyFont="1" applyFill="1" applyAlignment="1">
      <alignment horizontal="right"/>
    </xf>
    <xf numFmtId="49" fontId="3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7" fillId="2" borderId="0" xfId="0" applyFont="1" applyFill="1"/>
    <xf numFmtId="2" fontId="16" fillId="2" borderId="0" xfId="0" applyNumberFormat="1" applyFont="1" applyFill="1"/>
    <xf numFmtId="2" fontId="0" fillId="8" borderId="12" xfId="0" applyNumberFormat="1" applyFill="1" applyBorder="1" applyAlignment="1">
      <alignment horizontal="right"/>
    </xf>
    <xf numFmtId="0" fontId="16" fillId="2" borderId="0" xfId="0" applyFont="1" applyFill="1" applyAlignment="1">
      <alignment horizontal="left"/>
    </xf>
    <xf numFmtId="0" fontId="0" fillId="7" borderId="0" xfId="0" applyFill="1" applyAlignment="1">
      <alignment horizontal="center"/>
    </xf>
    <xf numFmtId="0" fontId="6" fillId="12" borderId="0" xfId="0" applyFont="1" applyFill="1"/>
    <xf numFmtId="0" fontId="1" fillId="9" borderId="0" xfId="0" applyFont="1" applyFill="1"/>
    <xf numFmtId="0" fontId="20" fillId="2" borderId="0" xfId="0" applyFont="1" applyFill="1" applyAlignment="1">
      <alignment horizontal="left"/>
    </xf>
    <xf numFmtId="167" fontId="0" fillId="0" borderId="0" xfId="0" applyNumberFormat="1"/>
    <xf numFmtId="49" fontId="10" fillId="11" borderId="0" xfId="0" applyNumberFormat="1" applyFont="1" applyFill="1" applyAlignment="1">
      <alignment horizontal="left"/>
    </xf>
    <xf numFmtId="0" fontId="7" fillId="2" borderId="0" xfId="0" applyFont="1" applyFill="1" applyAlignment="1">
      <alignment horizontal="right"/>
    </xf>
    <xf numFmtId="0" fontId="11" fillId="4" borderId="0" xfId="0" applyFont="1" applyFill="1"/>
    <xf numFmtId="0" fontId="11" fillId="4" borderId="10" xfId="0" applyFont="1" applyFill="1" applyBorder="1"/>
    <xf numFmtId="0" fontId="0" fillId="4" borderId="1" xfId="0" applyFill="1" applyBorder="1"/>
    <xf numFmtId="0" fontId="11" fillId="4" borderId="1" xfId="0" applyFont="1" applyFill="1" applyBorder="1"/>
    <xf numFmtId="0" fontId="11" fillId="4" borderId="14" xfId="0" applyFont="1" applyFill="1" applyBorder="1"/>
    <xf numFmtId="0" fontId="0" fillId="4" borderId="3" xfId="0" applyFill="1" applyBorder="1"/>
    <xf numFmtId="0" fontId="11" fillId="4" borderId="3" xfId="0" applyFont="1" applyFill="1" applyBorder="1"/>
    <xf numFmtId="0" fontId="11" fillId="4" borderId="9" xfId="0" applyFont="1" applyFill="1" applyBorder="1"/>
    <xf numFmtId="0" fontId="3" fillId="3" borderId="0" xfId="0" applyFont="1" applyFill="1"/>
    <xf numFmtId="49" fontId="0" fillId="3" borderId="0" xfId="0" applyNumberFormat="1" applyFill="1" applyAlignment="1">
      <alignment horizontal="left"/>
    </xf>
    <xf numFmtId="49" fontId="1" fillId="13" borderId="0" xfId="0" applyNumberFormat="1" applyFont="1" applyFill="1" applyAlignment="1">
      <alignment horizontal="left"/>
    </xf>
    <xf numFmtId="49" fontId="1" fillId="3" borderId="0" xfId="0" applyNumberFormat="1" applyFont="1" applyFill="1" applyAlignment="1">
      <alignment horizontal="left"/>
    </xf>
    <xf numFmtId="49" fontId="3" fillId="3" borderId="0" xfId="0" applyNumberFormat="1" applyFont="1" applyFill="1" applyAlignment="1">
      <alignment horizontal="left"/>
    </xf>
    <xf numFmtId="0" fontId="0" fillId="11" borderId="1" xfId="0" applyFill="1" applyBorder="1" applyAlignment="1">
      <alignment horizontal="left"/>
    </xf>
    <xf numFmtId="0" fontId="9" fillId="2" borderId="0" xfId="0" applyFont="1" applyFill="1" applyAlignment="1">
      <alignment horizontal="left"/>
    </xf>
    <xf numFmtId="164" fontId="0" fillId="2" borderId="0" xfId="0" applyNumberFormat="1" applyFill="1"/>
    <xf numFmtId="49" fontId="21" fillId="2" borderId="0" xfId="0" applyNumberFormat="1" applyFont="1" applyFill="1"/>
    <xf numFmtId="49" fontId="22" fillId="2" borderId="0" xfId="0" applyNumberFormat="1" applyFont="1" applyFill="1"/>
    <xf numFmtId="49" fontId="12" fillId="8" borderId="2" xfId="0" applyNumberFormat="1" applyFont="1" applyFill="1" applyBorder="1" applyAlignment="1">
      <alignment horizontal="center"/>
    </xf>
    <xf numFmtId="169" fontId="2" fillId="0" borderId="12" xfId="0" applyNumberFormat="1" applyFont="1" applyBorder="1" applyProtection="1">
      <protection locked="0"/>
    </xf>
    <xf numFmtId="169" fontId="2" fillId="0" borderId="15" xfId="0" applyNumberFormat="1" applyFont="1" applyBorder="1" applyProtection="1">
      <protection locked="0"/>
    </xf>
    <xf numFmtId="169" fontId="0" fillId="0" borderId="11" xfId="0" applyNumberFormat="1" applyBorder="1"/>
    <xf numFmtId="169" fontId="0" fillId="0" borderId="15" xfId="0" applyNumberFormat="1" applyBorder="1"/>
    <xf numFmtId="165" fontId="2" fillId="0" borderId="0" xfId="0" applyNumberFormat="1" applyFont="1" applyProtection="1">
      <protection locked="0"/>
    </xf>
    <xf numFmtId="0" fontId="2" fillId="8" borderId="4" xfId="0" applyFont="1" applyFill="1" applyBorder="1" applyProtection="1">
      <protection locked="0"/>
    </xf>
    <xf numFmtId="0" fontId="5" fillId="2" borderId="0" xfId="0" applyFont="1" applyFill="1"/>
    <xf numFmtId="49" fontId="0" fillId="3" borderId="0" xfId="0" applyNumberFormat="1" applyFill="1" applyAlignment="1">
      <alignment horizontal="right"/>
    </xf>
    <xf numFmtId="49" fontId="6" fillId="12" borderId="0" xfId="0" applyNumberFormat="1" applyFont="1" applyFill="1" applyAlignment="1">
      <alignment horizontal="right"/>
    </xf>
    <xf numFmtId="172" fontId="16" fillId="2" borderId="0" xfId="0" applyNumberFormat="1" applyFont="1" applyFill="1"/>
    <xf numFmtId="2" fontId="0" fillId="2" borderId="0" xfId="0" applyNumberFormat="1" applyFill="1"/>
    <xf numFmtId="0" fontId="1" fillId="0" borderId="16" xfId="0" applyFont="1" applyBorder="1" applyProtection="1">
      <protection locked="0"/>
    </xf>
    <xf numFmtId="0" fontId="1" fillId="9" borderId="16" xfId="0" applyFont="1" applyFill="1" applyBorder="1"/>
    <xf numFmtId="0" fontId="3" fillId="0" borderId="11" xfId="0" applyFont="1" applyBorder="1"/>
    <xf numFmtId="174" fontId="3" fillId="2" borderId="0" xfId="0" applyNumberFormat="1" applyFont="1" applyFill="1"/>
    <xf numFmtId="0" fontId="3" fillId="0" borderId="12" xfId="0" applyFont="1" applyBorder="1"/>
    <xf numFmtId="0" fontId="0" fillId="2" borderId="16" xfId="0" applyFill="1" applyBorder="1"/>
    <xf numFmtId="168" fontId="0" fillId="2" borderId="16" xfId="0" applyNumberFormat="1" applyFill="1" applyBorder="1"/>
    <xf numFmtId="165" fontId="2" fillId="0" borderId="14" xfId="0" applyNumberFormat="1" applyFont="1" applyBorder="1" applyProtection="1">
      <protection locked="0"/>
    </xf>
    <xf numFmtId="0" fontId="0" fillId="0" borderId="14" xfId="0" quotePrefix="1" applyBorder="1"/>
    <xf numFmtId="0" fontId="0" fillId="3" borderId="10" xfId="0" quotePrefix="1" applyFill="1" applyBorder="1"/>
    <xf numFmtId="0" fontId="0" fillId="3" borderId="9" xfId="0" quotePrefix="1" applyFill="1" applyBorder="1"/>
    <xf numFmtId="171" fontId="0" fillId="3" borderId="8" xfId="0" applyNumberFormat="1" applyFill="1" applyBorder="1"/>
    <xf numFmtId="171" fontId="0" fillId="3" borderId="13" xfId="0" applyNumberFormat="1" applyFill="1" applyBorder="1"/>
    <xf numFmtId="0" fontId="0" fillId="0" borderId="9" xfId="0" quotePrefix="1" applyBorder="1"/>
    <xf numFmtId="0" fontId="0" fillId="3" borderId="14" xfId="0" quotePrefix="1" applyFill="1" applyBorder="1"/>
    <xf numFmtId="175" fontId="0" fillId="3" borderId="8" xfId="0" applyNumberFormat="1" applyFill="1" applyBorder="1"/>
    <xf numFmtId="175" fontId="0" fillId="3" borderId="13" xfId="0" applyNumberFormat="1" applyFill="1" applyBorder="1"/>
    <xf numFmtId="11" fontId="0" fillId="0" borderId="4" xfId="0" applyNumberFormat="1" applyBorder="1"/>
    <xf numFmtId="176" fontId="0" fillId="0" borderId="4" xfId="0" applyNumberFormat="1" applyBorder="1"/>
    <xf numFmtId="0" fontId="0" fillId="0" borderId="10" xfId="0" quotePrefix="1" applyBorder="1"/>
    <xf numFmtId="176" fontId="0" fillId="3" borderId="4" xfId="0" applyNumberFormat="1" applyFill="1" applyBorder="1"/>
    <xf numFmtId="0" fontId="0" fillId="3" borderId="13" xfId="0" quotePrefix="1" applyFill="1" applyBorder="1"/>
    <xf numFmtId="168" fontId="0" fillId="0" borderId="4" xfId="0" applyNumberFormat="1" applyBorder="1"/>
    <xf numFmtId="0" fontId="0" fillId="3" borderId="7" xfId="0" quotePrefix="1" applyFill="1" applyBorder="1"/>
    <xf numFmtId="173" fontId="1" fillId="9" borderId="16" xfId="0" applyNumberFormat="1" applyFont="1" applyFill="1" applyBorder="1"/>
    <xf numFmtId="175" fontId="0" fillId="3" borderId="5" xfId="0" applyNumberFormat="1" applyFill="1" applyBorder="1"/>
    <xf numFmtId="177" fontId="0" fillId="3" borderId="5" xfId="0" applyNumberFormat="1" applyFill="1" applyBorder="1"/>
    <xf numFmtId="179" fontId="0" fillId="3" borderId="13" xfId="0" applyNumberFormat="1" applyFill="1" applyBorder="1"/>
    <xf numFmtId="178" fontId="0" fillId="3" borderId="7" xfId="0" applyNumberFormat="1" applyFill="1" applyBorder="1"/>
    <xf numFmtId="0" fontId="0" fillId="0" borderId="0" xfId="0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6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10" borderId="8" xfId="0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1" borderId="8" xfId="0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0" xfId="0" applyFill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168" fontId="0" fillId="4" borderId="9" xfId="0" applyNumberFormat="1" applyFill="1" applyBorder="1" applyAlignment="1">
      <alignment horizontal="center"/>
    </xf>
    <xf numFmtId="168" fontId="0" fillId="4" borderId="14" xfId="0" applyNumberFormat="1" applyFill="1" applyBorder="1" applyAlignment="1">
      <alignment horizontal="center"/>
    </xf>
    <xf numFmtId="168" fontId="0" fillId="4" borderId="10" xfId="0" applyNumberFormat="1" applyFill="1" applyBorder="1" applyAlignment="1">
      <alignment horizontal="center"/>
    </xf>
    <xf numFmtId="168" fontId="0" fillId="10" borderId="7" xfId="0" applyNumberFormat="1" applyFill="1" applyBorder="1" applyAlignment="1">
      <alignment horizontal="center"/>
    </xf>
    <xf numFmtId="168" fontId="0" fillId="10" borderId="10" xfId="0" applyNumberFormat="1" applyFill="1" applyBorder="1" applyAlignment="1">
      <alignment horizontal="center"/>
    </xf>
    <xf numFmtId="168" fontId="0" fillId="10" borderId="9" xfId="0" applyNumberFormat="1" applyFill="1" applyBorder="1" applyAlignment="1">
      <alignment horizontal="center"/>
    </xf>
    <xf numFmtId="168" fontId="0" fillId="10" borderId="14" xfId="0" applyNumberFormat="1" applyFill="1" applyBorder="1" applyAlignment="1">
      <alignment horizontal="center"/>
    </xf>
    <xf numFmtId="168" fontId="0" fillId="11" borderId="9" xfId="0" applyNumberFormat="1" applyFill="1" applyBorder="1" applyAlignment="1">
      <alignment horizontal="center"/>
    </xf>
    <xf numFmtId="168" fontId="0" fillId="11" borderId="10" xfId="0" applyNumberFormat="1" applyFill="1" applyBorder="1" applyAlignment="1">
      <alignment horizontal="center"/>
    </xf>
    <xf numFmtId="168" fontId="0" fillId="11" borderId="14" xfId="0" applyNumberFormat="1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 applyAlignment="1">
      <alignment horizontal="right"/>
    </xf>
    <xf numFmtId="0" fontId="1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178" fontId="0" fillId="4" borderId="3" xfId="0" applyNumberFormat="1" applyFill="1" applyBorder="1" applyAlignment="1">
      <alignment horizontal="center"/>
    </xf>
    <xf numFmtId="178" fontId="0" fillId="4" borderId="1" xfId="0" applyNumberFormat="1" applyFill="1" applyBorder="1" applyAlignment="1">
      <alignment horizontal="center"/>
    </xf>
    <xf numFmtId="180" fontId="0" fillId="4" borderId="1" xfId="0" applyNumberFormat="1" applyFill="1" applyBorder="1" applyAlignment="1">
      <alignment horizontal="center"/>
    </xf>
    <xf numFmtId="171" fontId="0" fillId="4" borderId="1" xfId="0" applyNumberFormat="1" applyFill="1" applyBorder="1" applyAlignment="1">
      <alignment horizontal="center"/>
    </xf>
    <xf numFmtId="0" fontId="0" fillId="4" borderId="1" xfId="0" quotePrefix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4" borderId="3" xfId="0" applyFont="1" applyFill="1" applyBorder="1" applyAlignment="1">
      <alignment horizontal="center"/>
    </xf>
    <xf numFmtId="175" fontId="0" fillId="0" borderId="4" xfId="0" applyNumberFormat="1" applyBorder="1"/>
    <xf numFmtId="49" fontId="1" fillId="2" borderId="0" xfId="0" applyNumberFormat="1" applyFont="1" applyFill="1" applyAlignment="1">
      <alignment horizontal="left"/>
    </xf>
    <xf numFmtId="0" fontId="3" fillId="2" borderId="0" xfId="0" applyNumberFormat="1" applyFont="1" applyFill="1" applyAlignment="1">
      <alignment horizontal="left"/>
    </xf>
    <xf numFmtId="180" fontId="3" fillId="4" borderId="1" xfId="0" applyNumberFormat="1" applyFont="1" applyFill="1" applyBorder="1" applyAlignment="1">
      <alignment horizontal="center"/>
    </xf>
    <xf numFmtId="170" fontId="0" fillId="0" borderId="15" xfId="0" applyNumberFormat="1" applyBorder="1" applyAlignment="1" applyProtection="1">
      <alignment wrapText="1"/>
      <protection locked="0"/>
    </xf>
    <xf numFmtId="0" fontId="0" fillId="0" borderId="15" xfId="0" applyBorder="1"/>
    <xf numFmtId="0" fontId="0" fillId="0" borderId="2" xfId="0" applyBorder="1"/>
    <xf numFmtId="0" fontId="3" fillId="0" borderId="9" xfId="0" quotePrefix="1" applyFont="1" applyBorder="1"/>
    <xf numFmtId="0" fontId="3" fillId="0" borderId="14" xfId="0" quotePrefix="1" applyFont="1" applyBorder="1"/>
    <xf numFmtId="0" fontId="3" fillId="0" borderId="10" xfId="0" quotePrefix="1" applyFont="1" applyBorder="1"/>
    <xf numFmtId="0" fontId="3" fillId="3" borderId="9" xfId="0" quotePrefix="1" applyFont="1" applyFill="1" applyBorder="1"/>
    <xf numFmtId="173" fontId="0" fillId="3" borderId="8" xfId="0" applyNumberFormat="1" applyFill="1" applyBorder="1"/>
    <xf numFmtId="11" fontId="0" fillId="0" borderId="8" xfId="0" applyNumberFormat="1" applyBorder="1"/>
    <xf numFmtId="0" fontId="3" fillId="4" borderId="1" xfId="0" applyFont="1" applyFill="1" applyBorder="1" applyAlignment="1">
      <alignment horizontal="center"/>
    </xf>
    <xf numFmtId="0" fontId="1" fillId="2" borderId="0" xfId="0" applyFont="1" applyFill="1" applyAlignment="1">
      <alignment horizontal="lef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7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Deviation between calculate</a:t>
            </a:r>
            <a:r>
              <a:rPr lang="de-DE" baseline="0"/>
              <a:t>d and empirical particle masses </a:t>
            </a:r>
            <a:r>
              <a:rPr lang="de-DE"/>
              <a:t>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Lbl>
              <c:idx val="4"/>
              <c:layout>
                <c:manualLayout>
                  <c:x val="-5.0036709959244065E-17"/>
                  <c:y val="-2.535065073323929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063-40E6-B383-AAF00F538387}"/>
                </c:ext>
              </c:extLst>
            </c:dLbl>
            <c:dLbl>
              <c:idx val="10"/>
              <c:layout>
                <c:manualLayout>
                  <c:x val="0"/>
                  <c:y val="-2.323809650546935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63-40E6-B383-AAF00F538387}"/>
                </c:ext>
              </c:extLst>
            </c:dLbl>
            <c:dLbl>
              <c:idx val="12"/>
              <c:layout>
                <c:manualLayout>
                  <c:x val="0"/>
                  <c:y val="6.337662683309823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63-40E6-B383-AAF00F538387}"/>
                </c:ext>
              </c:extLst>
            </c:dLbl>
            <c:dLbl>
              <c:idx val="15"/>
              <c:layout>
                <c:manualLayout>
                  <c:x val="-1.3646533087523813E-3"/>
                  <c:y val="-1.690043382215953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63-40E6-B383-AAF00F538387}"/>
                </c:ext>
              </c:extLst>
            </c:dLbl>
            <c:numFmt formatCode="#,##0.0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Vergleich!$A$5:$A$33</c:f>
              <c:strCache>
                <c:ptCount val="29"/>
                <c:pt idx="0">
                  <c:v>eta Meson</c:v>
                </c:pt>
                <c:pt idx="1">
                  <c:v>K+ K-Meson</c:v>
                </c:pt>
                <c:pt idx="2">
                  <c:v>K0 K-Meson</c:v>
                </c:pt>
                <c:pt idx="3">
                  <c:v>e0</c:v>
                </c:pt>
                <c:pt idx="4">
                  <c:v>e- Elektron</c:v>
                </c:pt>
                <c:pt idx="5">
                  <c:v>my Muon</c:v>
                </c:pt>
                <c:pt idx="6">
                  <c:v>pi+- Pion/pi-Meson</c:v>
                </c:pt>
                <c:pt idx="7">
                  <c:v>pi0 Pion/pi-Meson</c:v>
                </c:pt>
                <c:pt idx="8">
                  <c:v>Lambda Λ-Baryon</c:v>
                </c:pt>
                <c:pt idx="9">
                  <c:v>om- Ω-Baryon</c:v>
                </c:pt>
                <c:pt idx="10">
                  <c:v>p Proton</c:v>
                </c:pt>
                <c:pt idx="11">
                  <c:v>n Neutron</c:v>
                </c:pt>
                <c:pt idx="12">
                  <c:v>xi0 Ξ-Baryon/Hyperon</c:v>
                </c:pt>
                <c:pt idx="13">
                  <c:v>xi- Ξ-Baryon/Hyperon</c:v>
                </c:pt>
                <c:pt idx="14">
                  <c:v>sig+ Sigma baryon/Hyperon</c:v>
                </c:pt>
                <c:pt idx="15">
                  <c:v>sig0 Sigma baryon/Hyperon</c:v>
                </c:pt>
                <c:pt idx="16">
                  <c:v>sig- Sigma baryon/Hyperon</c:v>
                </c:pt>
                <c:pt idx="17">
                  <c:v>o++</c:v>
                </c:pt>
                <c:pt idx="18">
                  <c:v>o+</c:v>
                </c:pt>
                <c:pt idx="19">
                  <c:v>o0</c:v>
                </c:pt>
                <c:pt idx="20">
                  <c:v>o-</c:v>
                </c:pt>
                <c:pt idx="21">
                  <c:v>o-- (1982)</c:v>
                </c:pt>
                <c:pt idx="22">
                  <c:v>o- (1982)</c:v>
                </c:pt>
                <c:pt idx="23">
                  <c:v>o0 (1982)</c:v>
                </c:pt>
                <c:pt idx="24">
                  <c:v>o+ (1982)</c:v>
                </c:pt>
                <c:pt idx="25">
                  <c:v>delt++ Δ-Baryon</c:v>
                </c:pt>
                <c:pt idx="26">
                  <c:v>delt+ Δ-Baryon</c:v>
                </c:pt>
                <c:pt idx="27">
                  <c:v>delt Δ-Baryon</c:v>
                </c:pt>
                <c:pt idx="28">
                  <c:v>delt- Δ-Baryon</c:v>
                </c:pt>
              </c:strCache>
            </c:strRef>
          </c:cat>
          <c:val>
            <c:numRef>
              <c:f>Vergleich!$E$5:$E$33</c:f>
              <c:numCache>
                <c:formatCode>0.0000</c:formatCode>
                <c:ptCount val="29"/>
                <c:pt idx="0">
                  <c:v>0.1691280089108238</c:v>
                </c:pt>
                <c:pt idx="1">
                  <c:v>4.1047655089943014E-3</c:v>
                </c:pt>
                <c:pt idx="2">
                  <c:v>1.8459786470204076E-2</c:v>
                </c:pt>
                <c:pt idx="3">
                  <c:v>0</c:v>
                </c:pt>
                <c:pt idx="4">
                  <c:v>2.563679514566708E-3</c:v>
                </c:pt>
                <c:pt idx="5">
                  <c:v>2.3895549503993863E-3</c:v>
                </c:pt>
                <c:pt idx="6">
                  <c:v>4.7368230663646926E-3</c:v>
                </c:pt>
                <c:pt idx="7">
                  <c:v>1.5710503666022113E-2</c:v>
                </c:pt>
                <c:pt idx="8">
                  <c:v>1.0912831942699874E-2</c:v>
                </c:pt>
                <c:pt idx="9">
                  <c:v>1.9875700155203013E-2</c:v>
                </c:pt>
                <c:pt idx="10">
                  <c:v>2.6402879109710398E-3</c:v>
                </c:pt>
                <c:pt idx="11">
                  <c:v>2.6260505880060236E-3</c:v>
                </c:pt>
                <c:pt idx="12">
                  <c:v>2.6408453166482104E-4</c:v>
                </c:pt>
                <c:pt idx="13">
                  <c:v>3.498223839646375E-2</c:v>
                </c:pt>
                <c:pt idx="14">
                  <c:v>3.0961743842983225E-3</c:v>
                </c:pt>
                <c:pt idx="15">
                  <c:v>1.7235326335107715E-2</c:v>
                </c:pt>
                <c:pt idx="16">
                  <c:v>1.5515707107294219E-2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0.19753209063677613</c:v>
                </c:pt>
                <c:pt idx="26">
                  <c:v>0.20795392400977386</c:v>
                </c:pt>
                <c:pt idx="27">
                  <c:v>0.13962762581093413</c:v>
                </c:pt>
                <c:pt idx="28">
                  <c:v>0.16643091931214382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63-40E6-B383-AAF00F538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1881256"/>
        <c:axId val="601881584"/>
      </c:barChart>
      <c:catAx>
        <c:axId val="601881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1881584"/>
        <c:crosses val="autoZero"/>
        <c:auto val="1"/>
        <c:lblAlgn val="ctr"/>
        <c:lblOffset val="100"/>
        <c:noMultiLvlLbl val="0"/>
      </c:catAx>
      <c:valAx>
        <c:axId val="60188158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 i="0" u="none" strike="noStrike" baseline="0">
                    <a:effectLst/>
                  </a:rPr>
                  <a:t>Deviation</a:t>
                </a:r>
                <a:r>
                  <a:rPr lang="de-DE" baseline="0"/>
                  <a:t> (%)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1881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800" b="1" i="0" u="none" strike="noStrike" baseline="0">
                <a:effectLst/>
              </a:rPr>
              <a:t>Deviation between calculated and empirical particle life times </a:t>
            </a:r>
            <a:r>
              <a:rPr lang="de-DE"/>
              <a:t>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Lbl>
              <c:idx val="0"/>
              <c:layout>
                <c:manualLayout>
                  <c:x val="2.674720485154655E-3"/>
                  <c:y val="0.1099660993266441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CC6-4378-ABC1-96BBFB7B789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BBA-49D7-BEF9-DDCAFD1E1AB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BBA-49D7-BEF9-DDCAFD1E1ABA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BA-49D7-BEF9-DDCAFD1E1ABA}"/>
                </c:ext>
              </c:extLst>
            </c:dLbl>
            <c:dLbl>
              <c:idx val="5"/>
              <c:layout>
                <c:manualLayout>
                  <c:x val="5.4586132350094999E-3"/>
                  <c:y val="-8.4141205120698368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C6-4378-ABC1-96BBFB7B7894}"/>
                </c:ext>
              </c:extLst>
            </c:dLbl>
            <c:dLbl>
              <c:idx val="6"/>
              <c:layout>
                <c:manualLayout>
                  <c:x val="1.3646533087523813E-3"/>
                  <c:y val="4.4709631916534263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CC6-4378-ABC1-96BBFB7B7894}"/>
                </c:ext>
              </c:extLst>
            </c:dLbl>
            <c:dLbl>
              <c:idx val="7"/>
              <c:layout>
                <c:manualLayout>
                  <c:x val="1.3646533087523813E-3"/>
                  <c:y val="2.722533468181939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CC6-4378-ABC1-96BBFB7B7894}"/>
                </c:ext>
              </c:extLst>
            </c:dLbl>
            <c:dLbl>
              <c:idx val="8"/>
              <c:layout>
                <c:manualLayout>
                  <c:x val="-5.0036709959244065E-17"/>
                  <c:y val="1.13392595746944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C6-4378-ABC1-96BBFB7B7894}"/>
                </c:ext>
              </c:extLst>
            </c:dLbl>
            <c:dLbl>
              <c:idx val="9"/>
              <c:layout>
                <c:manualLayout>
                  <c:x val="4.0502910203770628E-2"/>
                  <c:y val="0.1120786535544140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C6-4378-ABC1-96BBFB7B7894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BA-49D7-BEF9-DDCAFD1E1ABA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BBA-49D7-BEF9-DDCAFD1E1ABA}"/>
                </c:ext>
              </c:extLst>
            </c:dLbl>
            <c:dLbl>
              <c:idx val="12"/>
              <c:layout>
                <c:manualLayout>
                  <c:x val="1.3646533087523312E-3"/>
                  <c:y val="9.236353232374311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C6-4378-ABC1-96BBFB7B7894}"/>
                </c:ext>
              </c:extLst>
            </c:dLbl>
            <c:dLbl>
              <c:idx val="13"/>
              <c:layout>
                <c:manualLayout>
                  <c:x val="0"/>
                  <c:y val="2.55635695845405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CC6-4378-ABC1-96BBFB7B7894}"/>
                </c:ext>
              </c:extLst>
            </c:dLbl>
            <c:dLbl>
              <c:idx val="14"/>
              <c:layout>
                <c:manualLayout>
                  <c:x val="5.458613235009525E-3"/>
                  <c:y val="7.1540734037739868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C6-4378-ABC1-96BBFB7B7894}"/>
                </c:ext>
              </c:extLst>
            </c:dLbl>
            <c:dLbl>
              <c:idx val="15"/>
              <c:layout>
                <c:manualLayout>
                  <c:x val="4.0885013130221345E-2"/>
                  <c:y val="0.10574099087110425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C6-4378-ABC1-96BBFB7B7894}"/>
                </c:ext>
              </c:extLst>
            </c:dLbl>
            <c:dLbl>
              <c:idx val="16"/>
              <c:layout>
                <c:manualLayout>
                  <c:x val="1.3646533087522813E-3"/>
                  <c:y val="2.788571580656167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C6-4378-ABC1-96BBFB7B7894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BBA-49D7-BEF9-DDCAFD1E1ABA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BBA-49D7-BEF9-DDCAFD1E1ABA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BBA-49D7-BEF9-DDCAFD1E1ABA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BBA-49D7-BEF9-DDCAFD1E1ABA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BBA-49D7-BEF9-DDCAFD1E1ABA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BBA-49D7-BEF9-DDCAFD1E1ABA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BBA-49D7-BEF9-DDCAFD1E1ABA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BBA-49D7-BEF9-DDCAFD1E1ABA}"/>
                </c:ext>
              </c:extLst>
            </c:dLbl>
            <c:dLbl>
              <c:idx val="25"/>
              <c:layout>
                <c:manualLayout>
                  <c:x val="5.4040271026594301E-3"/>
                  <c:y val="0.1120786535544140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CC6-4378-ABC1-96BBFB7B7894}"/>
                </c:ext>
              </c:extLst>
            </c:dLbl>
            <c:dLbl>
              <c:idx val="27"/>
              <c:layout>
                <c:manualLayout>
                  <c:x val="1.0007341991848813E-16"/>
                  <c:y val="4.330952412636730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C6-4378-ABC1-96BBFB7B7894}"/>
                </c:ext>
              </c:extLst>
            </c:dLbl>
            <c:dLbl>
              <c:idx val="28"/>
              <c:layout>
                <c:manualLayout>
                  <c:x val="-2.0014683983697626E-16"/>
                  <c:y val="6.132578580363558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C6-4378-ABC1-96BBFB7B7894}"/>
                </c:ext>
              </c:extLst>
            </c:dLbl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Vergleich!$A$5:$A$33</c:f>
              <c:strCache>
                <c:ptCount val="29"/>
                <c:pt idx="0">
                  <c:v>eta Meson</c:v>
                </c:pt>
                <c:pt idx="1">
                  <c:v>K+ K-Meson</c:v>
                </c:pt>
                <c:pt idx="2">
                  <c:v>K0 K-Meson</c:v>
                </c:pt>
                <c:pt idx="3">
                  <c:v>e0</c:v>
                </c:pt>
                <c:pt idx="4">
                  <c:v>e- Elektron</c:v>
                </c:pt>
                <c:pt idx="5">
                  <c:v>my Muon</c:v>
                </c:pt>
                <c:pt idx="6">
                  <c:v>pi+- Pion/pi-Meson</c:v>
                </c:pt>
                <c:pt idx="7">
                  <c:v>pi0 Pion/pi-Meson</c:v>
                </c:pt>
                <c:pt idx="8">
                  <c:v>Lambda Λ-Baryon</c:v>
                </c:pt>
                <c:pt idx="9">
                  <c:v>om- Ω-Baryon</c:v>
                </c:pt>
                <c:pt idx="10">
                  <c:v>p Proton</c:v>
                </c:pt>
                <c:pt idx="11">
                  <c:v>n Neutron</c:v>
                </c:pt>
                <c:pt idx="12">
                  <c:v>xi0 Ξ-Baryon/Hyperon</c:v>
                </c:pt>
                <c:pt idx="13">
                  <c:v>xi- Ξ-Baryon/Hyperon</c:v>
                </c:pt>
                <c:pt idx="14">
                  <c:v>sig+ Sigma baryon/Hyperon</c:v>
                </c:pt>
                <c:pt idx="15">
                  <c:v>sig0 Sigma baryon/Hyperon</c:v>
                </c:pt>
                <c:pt idx="16">
                  <c:v>sig- Sigma baryon/Hyperon</c:v>
                </c:pt>
                <c:pt idx="17">
                  <c:v>o++</c:v>
                </c:pt>
                <c:pt idx="18">
                  <c:v>o+</c:v>
                </c:pt>
                <c:pt idx="19">
                  <c:v>o0</c:v>
                </c:pt>
                <c:pt idx="20">
                  <c:v>o-</c:v>
                </c:pt>
                <c:pt idx="21">
                  <c:v>o-- (1982)</c:v>
                </c:pt>
                <c:pt idx="22">
                  <c:v>o- (1982)</c:v>
                </c:pt>
                <c:pt idx="23">
                  <c:v>o0 (1982)</c:v>
                </c:pt>
                <c:pt idx="24">
                  <c:v>o+ (1982)</c:v>
                </c:pt>
                <c:pt idx="25">
                  <c:v>delt++ Δ-Baryon</c:v>
                </c:pt>
                <c:pt idx="26">
                  <c:v>delt+ Δ-Baryon</c:v>
                </c:pt>
                <c:pt idx="27">
                  <c:v>delt Δ-Baryon</c:v>
                </c:pt>
                <c:pt idx="28">
                  <c:v>delt- Δ-Baryon</c:v>
                </c:pt>
              </c:strCache>
            </c:strRef>
          </c:cat>
          <c:val>
            <c:numRef>
              <c:f>Vergleich!$I$5:$I$33</c:f>
              <c:numCache>
                <c:formatCode>General</c:formatCode>
                <c:ptCount val="29"/>
                <c:pt idx="0">
                  <c:v>113.83599441025174</c:v>
                </c:pt>
                <c:pt idx="1">
                  <c:v>7.0961979198291836E-2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0.11297780919528044</c:v>
                </c:pt>
                <c:pt idx="6">
                  <c:v>1.6176996438521662E-2</c:v>
                </c:pt>
                <c:pt idx="7">
                  <c:v>2.1430435385305646E-2</c:v>
                </c:pt>
                <c:pt idx="8">
                  <c:v>2.0930521645224687</c:v>
                </c:pt>
                <c:pt idx="9">
                  <c:v>37.693041011500817</c:v>
                </c:pt>
                <c:pt idx="10">
                  <c:v>0</c:v>
                </c:pt>
                <c:pt idx="11">
                  <c:v>0</c:v>
                </c:pt>
                <c:pt idx="12">
                  <c:v>2.093298653479081</c:v>
                </c:pt>
                <c:pt idx="13">
                  <c:v>0.85195172974336097</c:v>
                </c:pt>
                <c:pt idx="14">
                  <c:v>0.1336735002584355</c:v>
                </c:pt>
                <c:pt idx="15">
                  <c:v>99.998275414014699</c:v>
                </c:pt>
                <c:pt idx="16">
                  <c:v>0.18595974056956344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52.76821589439291</c:v>
                </c:pt>
                <c:pt idx="26">
                  <c:v>2.6792632063590061</c:v>
                </c:pt>
                <c:pt idx="27">
                  <c:v>13.583075806979794</c:v>
                </c:pt>
                <c:pt idx="28">
                  <c:v>12.044306598008337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C6-4378-ABC1-96BBFB7B7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1881256"/>
        <c:axId val="601881584"/>
      </c:barChart>
      <c:catAx>
        <c:axId val="601881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1881584"/>
        <c:crosses val="autoZero"/>
        <c:auto val="1"/>
        <c:lblAlgn val="ctr"/>
        <c:lblOffset val="100"/>
        <c:noMultiLvlLbl val="0"/>
      </c:catAx>
      <c:valAx>
        <c:axId val="601881584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Deviation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1881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83B87A3-4FF2-463E-9F51-B44D99420E78}">
  <sheetPr/>
  <sheetViews>
    <sheetView zoomScale="110" workbookViewId="0"/>
  </sheetViews>
  <pageMargins left="0.7" right="0.7" top="0.78740157499999996" bottom="0.78740157499999996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B4E8E7A-06C7-4C72-8214-4BB169F36FAB}">
  <sheetPr/>
  <sheetViews>
    <sheetView workbookViewId="0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38</xdr:row>
      <xdr:rowOff>0</xdr:rowOff>
    </xdr:from>
    <xdr:to>
      <xdr:col>2</xdr:col>
      <xdr:colOff>409575</xdr:colOff>
      <xdr:row>51</xdr:row>
      <xdr:rowOff>152400</xdr:rowOff>
    </xdr:to>
    <xdr:pic>
      <xdr:nvPicPr>
        <xdr:cNvPr id="2050" name="Picture 2">
          <a:extLs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6153150"/>
          <a:ext cx="2400300" cy="2257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4</xdr:col>
          <xdr:colOff>857250</xdr:colOff>
          <xdr:row>16</xdr:row>
          <xdr:rowOff>0</xdr:rowOff>
        </xdr:to>
        <xdr:sp macro="" textlink="">
          <xdr:nvSpPr>
            <xdr:cNvPr id="2051" name="Spin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1" name="Spin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1205" cy="6000750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10275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E78"/>
  <sheetViews>
    <sheetView workbookViewId="0">
      <selection activeCell="A76" sqref="A76"/>
    </sheetView>
  </sheetViews>
  <sheetFormatPr baseColWidth="10" defaultRowHeight="12.75"/>
  <cols>
    <col min="1" max="1" width="3.5703125" style="12" customWidth="1"/>
    <col min="2" max="2" width="24.140625" style="12" customWidth="1"/>
    <col min="3" max="4" width="11.42578125" style="12"/>
    <col min="5" max="5" width="54.7109375" style="12" customWidth="1"/>
    <col min="6" max="6" width="41.42578125" style="12" customWidth="1"/>
    <col min="7" max="16384" width="11.42578125" style="12"/>
  </cols>
  <sheetData>
    <row r="1" spans="1:5">
      <c r="A1" s="11"/>
      <c r="B1" s="11"/>
      <c r="C1" s="11"/>
      <c r="D1" s="11"/>
      <c r="E1" s="11"/>
    </row>
    <row r="2" spans="1:5" ht="15.75">
      <c r="A2" s="11"/>
      <c r="B2" s="15" t="s">
        <v>646</v>
      </c>
      <c r="C2" s="11"/>
      <c r="D2" s="11"/>
      <c r="E2" s="11"/>
    </row>
    <row r="3" spans="1:5" ht="15.75">
      <c r="A3" s="11"/>
      <c r="B3" s="15"/>
      <c r="C3" s="11"/>
      <c r="D3" s="11"/>
      <c r="E3" s="11"/>
    </row>
    <row r="4" spans="1:5">
      <c r="A4" s="11"/>
      <c r="B4" s="11"/>
      <c r="C4" s="11"/>
      <c r="D4" s="11"/>
      <c r="E4" s="11"/>
    </row>
    <row r="5" spans="1:5">
      <c r="A5" s="11" t="s">
        <v>647</v>
      </c>
      <c r="B5" s="11"/>
      <c r="C5" s="11"/>
      <c r="D5" s="11"/>
      <c r="E5" s="11"/>
    </row>
    <row r="6" spans="1:5">
      <c r="A6" s="11" t="s">
        <v>648</v>
      </c>
      <c r="B6" s="11"/>
      <c r="C6" s="11"/>
      <c r="D6" s="11"/>
      <c r="E6" s="11"/>
    </row>
    <row r="7" spans="1:5">
      <c r="A7" s="11"/>
      <c r="B7" s="11"/>
      <c r="C7" s="11"/>
      <c r="D7" s="11"/>
      <c r="E7" s="11"/>
    </row>
    <row r="8" spans="1:5">
      <c r="A8" s="11" t="s">
        <v>32</v>
      </c>
      <c r="B8" s="11"/>
      <c r="C8" s="11"/>
      <c r="D8" s="11"/>
      <c r="E8" s="11"/>
    </row>
    <row r="9" spans="1:5">
      <c r="A9" s="14" t="s">
        <v>34</v>
      </c>
      <c r="B9" s="49" t="s">
        <v>691</v>
      </c>
      <c r="C9" s="11"/>
      <c r="D9" s="11"/>
      <c r="E9" s="11"/>
    </row>
    <row r="10" spans="1:5">
      <c r="A10" s="14"/>
      <c r="B10" s="11" t="s">
        <v>692</v>
      </c>
      <c r="C10" s="11"/>
      <c r="D10" s="11"/>
      <c r="E10" s="11"/>
    </row>
    <row r="11" spans="1:5">
      <c r="A11" s="14" t="s">
        <v>34</v>
      </c>
      <c r="B11" s="49" t="s">
        <v>693</v>
      </c>
      <c r="C11" s="11"/>
      <c r="D11" s="11"/>
      <c r="E11" s="11"/>
    </row>
    <row r="12" spans="1:5">
      <c r="A12" s="14" t="s">
        <v>34</v>
      </c>
      <c r="B12" s="49" t="s">
        <v>694</v>
      </c>
      <c r="C12" s="11"/>
      <c r="D12" s="11"/>
      <c r="E12" s="11"/>
    </row>
    <row r="13" spans="1:5">
      <c r="A13" s="14" t="s">
        <v>34</v>
      </c>
      <c r="B13" s="11" t="s">
        <v>33</v>
      </c>
      <c r="C13" s="11"/>
      <c r="D13" s="11"/>
      <c r="E13" s="11"/>
    </row>
    <row r="14" spans="1:5">
      <c r="A14" s="14"/>
      <c r="B14" s="11"/>
      <c r="C14" s="11"/>
      <c r="D14" s="11"/>
      <c r="E14" s="11"/>
    </row>
    <row r="15" spans="1:5">
      <c r="A15" s="25" t="s">
        <v>89</v>
      </c>
      <c r="B15" s="11"/>
      <c r="C15" s="11"/>
      <c r="D15" s="11"/>
      <c r="E15" s="11"/>
    </row>
    <row r="16" spans="1:5">
      <c r="A16" s="25" t="s">
        <v>204</v>
      </c>
      <c r="B16" s="11"/>
      <c r="C16" s="11"/>
      <c r="D16" s="11"/>
      <c r="E16" s="11"/>
    </row>
    <row r="17" spans="1:5">
      <c r="A17" s="11"/>
      <c r="B17" s="11"/>
      <c r="C17" s="11"/>
      <c r="D17" s="11"/>
      <c r="E17" s="11"/>
    </row>
    <row r="18" spans="1:5">
      <c r="A18" s="11"/>
      <c r="B18" s="11"/>
      <c r="C18" s="11"/>
      <c r="D18" s="11"/>
      <c r="E18" s="11"/>
    </row>
    <row r="19" spans="1:5">
      <c r="A19" s="13" t="s">
        <v>43</v>
      </c>
      <c r="B19" s="11"/>
      <c r="C19" s="11"/>
      <c r="D19" s="11"/>
      <c r="E19" s="11"/>
    </row>
    <row r="20" spans="1:5">
      <c r="A20" s="141" t="s">
        <v>713</v>
      </c>
      <c r="B20" s="11" t="s">
        <v>714</v>
      </c>
      <c r="C20" s="11"/>
      <c r="D20" s="11"/>
      <c r="E20" s="11"/>
    </row>
    <row r="21" spans="1:5">
      <c r="A21" s="13"/>
      <c r="B21" s="11"/>
      <c r="C21" s="250" t="s">
        <v>715</v>
      </c>
      <c r="D21" s="11"/>
      <c r="E21" s="11"/>
    </row>
    <row r="22" spans="1:5">
      <c r="A22" s="13"/>
      <c r="B22" s="11"/>
      <c r="C22" s="11"/>
      <c r="D22" s="11"/>
      <c r="E22" s="11"/>
    </row>
    <row r="23" spans="1:5">
      <c r="A23" s="141" t="s">
        <v>325</v>
      </c>
      <c r="B23" s="141" t="s">
        <v>330</v>
      </c>
      <c r="C23" s="11"/>
      <c r="D23" s="11"/>
      <c r="E23" s="11"/>
    </row>
    <row r="24" spans="1:5">
      <c r="A24" s="141"/>
      <c r="B24" s="11" t="s">
        <v>326</v>
      </c>
      <c r="C24" s="11"/>
      <c r="D24" s="11"/>
      <c r="E24" s="11"/>
    </row>
    <row r="25" spans="1:5">
      <c r="A25" s="13"/>
      <c r="B25" s="11" t="s">
        <v>649</v>
      </c>
      <c r="C25" s="11"/>
      <c r="D25" s="11"/>
      <c r="E25" s="11"/>
    </row>
    <row r="26" spans="1:5">
      <c r="A26" s="13"/>
      <c r="B26" s="11"/>
      <c r="C26" s="11"/>
      <c r="D26" s="11"/>
      <c r="E26" s="11"/>
    </row>
    <row r="27" spans="1:5">
      <c r="A27" s="141" t="s">
        <v>327</v>
      </c>
      <c r="B27" s="141" t="s">
        <v>718</v>
      </c>
      <c r="C27" s="11"/>
      <c r="D27" s="11"/>
      <c r="E27" s="11"/>
    </row>
    <row r="28" spans="1:5">
      <c r="A28" s="13"/>
      <c r="B28" s="11" t="s">
        <v>328</v>
      </c>
      <c r="C28" s="11"/>
      <c r="D28" s="11"/>
      <c r="E28" s="11"/>
    </row>
    <row r="29" spans="1:5">
      <c r="A29" s="13"/>
      <c r="B29" s="11" t="s">
        <v>329</v>
      </c>
      <c r="C29" s="11"/>
      <c r="D29" s="11"/>
      <c r="E29" s="11"/>
    </row>
    <row r="30" spans="1:5">
      <c r="A30" s="13"/>
      <c r="B30" s="11" t="s">
        <v>650</v>
      </c>
      <c r="C30" s="11"/>
      <c r="D30" s="11"/>
      <c r="E30" s="11"/>
    </row>
    <row r="31" spans="1:5">
      <c r="A31" s="13"/>
      <c r="B31" s="11"/>
      <c r="C31" s="11"/>
      <c r="D31" s="11"/>
      <c r="E31" s="11"/>
    </row>
    <row r="32" spans="1:5">
      <c r="A32" s="13"/>
      <c r="B32" s="141" t="s">
        <v>335</v>
      </c>
      <c r="C32" s="11"/>
      <c r="D32" s="11"/>
      <c r="E32" s="11"/>
    </row>
    <row r="33" spans="1:5">
      <c r="A33" s="13"/>
      <c r="B33" s="141" t="s">
        <v>695</v>
      </c>
      <c r="C33" s="11"/>
      <c r="D33" s="11"/>
      <c r="E33" s="11"/>
    </row>
    <row r="34" spans="1:5">
      <c r="A34" s="13"/>
      <c r="B34" s="11" t="s">
        <v>651</v>
      </c>
      <c r="C34" s="11"/>
      <c r="D34" s="11"/>
      <c r="E34" s="11"/>
    </row>
    <row r="35" spans="1:5">
      <c r="A35" s="13"/>
      <c r="B35" s="11"/>
      <c r="C35" s="11"/>
      <c r="D35" s="11"/>
      <c r="E35" s="11"/>
    </row>
    <row r="36" spans="1:5">
      <c r="A36" s="141" t="s">
        <v>334</v>
      </c>
      <c r="B36" s="11" t="s">
        <v>336</v>
      </c>
      <c r="C36" s="11"/>
      <c r="D36" s="11"/>
      <c r="E36" s="11"/>
    </row>
    <row r="37" spans="1:5">
      <c r="A37" s="13"/>
      <c r="B37" s="11" t="s">
        <v>203</v>
      </c>
      <c r="C37" s="11"/>
      <c r="D37" s="11"/>
      <c r="E37" s="11"/>
    </row>
    <row r="38" spans="1:5">
      <c r="A38" s="13"/>
      <c r="B38" s="11" t="s">
        <v>652</v>
      </c>
      <c r="C38" s="11"/>
      <c r="D38" s="11"/>
      <c r="E38" s="11"/>
    </row>
    <row r="39" spans="1:5">
      <c r="A39" s="13"/>
      <c r="B39" s="11" t="s">
        <v>653</v>
      </c>
      <c r="C39" s="11"/>
      <c r="D39" s="11"/>
      <c r="E39" s="11"/>
    </row>
    <row r="40" spans="1:5">
      <c r="A40" s="13"/>
      <c r="B40" s="11"/>
      <c r="C40" s="11"/>
      <c r="D40" s="11"/>
      <c r="E40" s="11"/>
    </row>
    <row r="41" spans="1:5">
      <c r="A41" s="13" t="s">
        <v>331</v>
      </c>
      <c r="B41" s="11"/>
      <c r="C41" s="11"/>
      <c r="D41" s="11"/>
      <c r="E41" s="11"/>
    </row>
    <row r="42" spans="1:5">
      <c r="A42" s="11" t="s">
        <v>332</v>
      </c>
      <c r="B42" s="11"/>
      <c r="C42" s="11"/>
      <c r="D42" s="11"/>
      <c r="E42" s="11"/>
    </row>
    <row r="43" spans="1:5">
      <c r="A43" s="11" t="s">
        <v>654</v>
      </c>
      <c r="B43" s="11"/>
      <c r="C43" s="11"/>
      <c r="D43" s="11"/>
      <c r="E43" s="11"/>
    </row>
    <row r="44" spans="1:5">
      <c r="A44" s="11" t="s">
        <v>333</v>
      </c>
      <c r="B44" s="11"/>
      <c r="C44" s="11"/>
      <c r="D44" s="11"/>
      <c r="E44" s="11"/>
    </row>
    <row r="45" spans="1:5">
      <c r="A45" s="11"/>
      <c r="B45" s="11"/>
      <c r="C45" s="11"/>
      <c r="D45" s="11"/>
      <c r="E45" s="11"/>
    </row>
    <row r="46" spans="1:5">
      <c r="A46" s="49" t="s">
        <v>708</v>
      </c>
      <c r="B46" s="11"/>
      <c r="C46" s="11"/>
      <c r="D46" s="11"/>
      <c r="E46" s="11"/>
    </row>
    <row r="47" spans="1:5">
      <c r="A47" s="11" t="s">
        <v>696</v>
      </c>
      <c r="B47" s="11"/>
      <c r="C47" s="11"/>
      <c r="D47" s="11"/>
      <c r="E47" s="11"/>
    </row>
    <row r="48" spans="1:5">
      <c r="A48" s="11" t="s">
        <v>709</v>
      </c>
      <c r="B48" s="11"/>
      <c r="C48" s="11"/>
      <c r="D48" s="11"/>
      <c r="E48" s="11"/>
    </row>
    <row r="49" spans="1:5">
      <c r="A49" s="11" t="s">
        <v>697</v>
      </c>
      <c r="B49" s="11"/>
      <c r="C49" s="11"/>
      <c r="D49" s="11"/>
      <c r="E49" s="11"/>
    </row>
    <row r="50" spans="1:5">
      <c r="A50" s="11" t="s">
        <v>699</v>
      </c>
      <c r="B50" s="11"/>
      <c r="C50" s="11"/>
      <c r="D50" s="11"/>
      <c r="E50" s="11"/>
    </row>
    <row r="51" spans="1:5" ht="13.5">
      <c r="A51" s="11"/>
      <c r="B51" s="249" t="s">
        <v>700</v>
      </c>
      <c r="C51" s="11"/>
      <c r="D51" s="11"/>
      <c r="E51" s="11"/>
    </row>
    <row r="52" spans="1:5" ht="13.5">
      <c r="A52" s="11" t="s">
        <v>701</v>
      </c>
      <c r="B52" s="248"/>
      <c r="C52" s="11"/>
      <c r="D52" s="11"/>
      <c r="E52" s="11"/>
    </row>
    <row r="53" spans="1:5" ht="13.5">
      <c r="A53" s="11"/>
      <c r="B53" s="249" t="s">
        <v>702</v>
      </c>
      <c r="C53" s="11"/>
      <c r="D53" s="11"/>
      <c r="E53" s="11"/>
    </row>
    <row r="54" spans="1:5" ht="13.5">
      <c r="A54" s="11" t="s">
        <v>710</v>
      </c>
      <c r="B54" s="249"/>
      <c r="C54" s="11"/>
      <c r="D54" s="11"/>
      <c r="E54" s="11"/>
    </row>
    <row r="55" spans="1:5" ht="13.5">
      <c r="A55" s="11"/>
      <c r="B55" s="249"/>
      <c r="C55" s="11"/>
      <c r="D55" s="11"/>
      <c r="E55" s="11"/>
    </row>
    <row r="56" spans="1:5">
      <c r="A56" s="11"/>
      <c r="B56" s="11"/>
      <c r="C56" s="11"/>
      <c r="D56" s="11"/>
      <c r="E56" s="11"/>
    </row>
    <row r="57" spans="1:5">
      <c r="A57" s="49" t="s">
        <v>698</v>
      </c>
      <c r="B57" s="11"/>
      <c r="C57" s="11"/>
      <c r="D57" s="11"/>
      <c r="E57" s="11"/>
    </row>
    <row r="58" spans="1:5">
      <c r="A58" s="11" t="s">
        <v>238</v>
      </c>
      <c r="B58" s="11"/>
      <c r="C58" s="11"/>
      <c r="D58" s="11"/>
      <c r="E58" s="11"/>
    </row>
    <row r="59" spans="1:5">
      <c r="A59" s="11"/>
      <c r="B59" s="11"/>
      <c r="C59" s="11"/>
      <c r="D59" s="11"/>
      <c r="E59" s="11"/>
    </row>
    <row r="60" spans="1:5">
      <c r="A60" s="141"/>
      <c r="B60" s="141" t="s">
        <v>337</v>
      </c>
      <c r="C60" s="11"/>
      <c r="D60" s="11"/>
      <c r="E60" s="11"/>
    </row>
    <row r="61" spans="1:5">
      <c r="A61" s="141"/>
      <c r="B61" s="141" t="s">
        <v>338</v>
      </c>
      <c r="C61" s="11"/>
      <c r="D61" s="11"/>
      <c r="E61" s="11"/>
    </row>
    <row r="62" spans="1:5">
      <c r="A62" s="11"/>
      <c r="B62" s="11"/>
      <c r="C62" s="11"/>
      <c r="D62" s="11"/>
      <c r="E62" s="11"/>
    </row>
    <row r="63" spans="1:5">
      <c r="A63" s="13" t="s">
        <v>44</v>
      </c>
      <c r="B63" s="11"/>
      <c r="C63" s="11"/>
      <c r="D63" s="11"/>
      <c r="E63" s="11"/>
    </row>
    <row r="64" spans="1:5">
      <c r="A64" s="11" t="s">
        <v>205</v>
      </c>
      <c r="B64" s="11" t="s">
        <v>206</v>
      </c>
      <c r="C64" s="11"/>
      <c r="D64" s="11"/>
      <c r="E64" s="11"/>
    </row>
    <row r="65" spans="1:5">
      <c r="A65" s="11"/>
      <c r="B65" s="11" t="s">
        <v>207</v>
      </c>
      <c r="C65" s="11"/>
      <c r="D65" s="11"/>
      <c r="E65" s="11"/>
    </row>
    <row r="66" spans="1:5">
      <c r="A66" s="11" t="s">
        <v>208</v>
      </c>
      <c r="B66" s="11" t="s">
        <v>209</v>
      </c>
      <c r="C66" s="11"/>
      <c r="D66" s="11"/>
      <c r="E66" s="11"/>
    </row>
    <row r="67" spans="1:5">
      <c r="A67" s="11"/>
      <c r="B67" s="11" t="s">
        <v>211</v>
      </c>
      <c r="C67" s="11"/>
      <c r="D67" s="11"/>
      <c r="E67" s="11"/>
    </row>
    <row r="68" spans="1:5">
      <c r="A68" s="11" t="s">
        <v>210</v>
      </c>
      <c r="B68" s="11" t="s">
        <v>655</v>
      </c>
      <c r="C68" s="11"/>
      <c r="D68" s="11"/>
      <c r="E68" s="11"/>
    </row>
    <row r="69" spans="1:5">
      <c r="A69" s="11" t="s">
        <v>304</v>
      </c>
      <c r="B69" s="11" t="s">
        <v>306</v>
      </c>
      <c r="C69" s="11"/>
      <c r="D69" s="11"/>
      <c r="E69" s="11"/>
    </row>
    <row r="70" spans="1:5">
      <c r="A70" s="11"/>
      <c r="B70" s="11" t="s">
        <v>656</v>
      </c>
      <c r="C70" s="11"/>
      <c r="D70" s="11"/>
      <c r="E70" s="11"/>
    </row>
    <row r="71" spans="1:5">
      <c r="A71" s="11" t="s">
        <v>387</v>
      </c>
      <c r="B71" s="11" t="s">
        <v>703</v>
      </c>
      <c r="C71" s="11"/>
      <c r="D71" s="11"/>
      <c r="E71" s="11"/>
    </row>
    <row r="72" spans="1:5">
      <c r="A72" s="11"/>
      <c r="B72" s="11" t="s">
        <v>704</v>
      </c>
      <c r="C72" s="11"/>
      <c r="D72" s="11"/>
      <c r="E72" s="11"/>
    </row>
    <row r="73" spans="1:5">
      <c r="A73" s="11" t="s">
        <v>705</v>
      </c>
      <c r="B73" s="11" t="s">
        <v>706</v>
      </c>
      <c r="C73" s="11"/>
      <c r="D73" s="11"/>
      <c r="E73" s="11"/>
    </row>
    <row r="74" spans="1:5">
      <c r="A74" s="11"/>
      <c r="B74" s="11"/>
      <c r="C74" s="11"/>
      <c r="D74" s="11"/>
      <c r="E74" s="11"/>
    </row>
    <row r="75" spans="1:5">
      <c r="A75" s="11" t="s">
        <v>707</v>
      </c>
      <c r="B75" s="11"/>
      <c r="C75" s="11"/>
      <c r="D75" s="11"/>
      <c r="E75" s="11"/>
    </row>
    <row r="76" spans="1:5">
      <c r="A76" s="139" t="s">
        <v>307</v>
      </c>
      <c r="B76" s="11"/>
      <c r="C76" s="11"/>
      <c r="D76" s="11"/>
      <c r="E76" s="11"/>
    </row>
    <row r="77" spans="1:5">
      <c r="A77" s="11"/>
      <c r="B77" s="11"/>
      <c r="C77" s="11"/>
      <c r="D77" s="11"/>
      <c r="E77" s="11"/>
    </row>
    <row r="78" spans="1:5">
      <c r="A78" s="11"/>
      <c r="B78" s="11"/>
      <c r="C78" s="11"/>
      <c r="D78" s="11"/>
      <c r="E78" s="11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H95"/>
  <sheetViews>
    <sheetView tabSelected="1" workbookViewId="0">
      <selection activeCell="E99" sqref="E99"/>
    </sheetView>
  </sheetViews>
  <sheetFormatPr baseColWidth="10" defaultRowHeight="12.75"/>
  <cols>
    <col min="1" max="1" width="7.5703125" customWidth="1"/>
    <col min="2" max="2" width="29.85546875" customWidth="1"/>
    <col min="3" max="3" width="22.140625" style="1" customWidth="1"/>
    <col min="4" max="4" width="7.5703125" style="1" customWidth="1"/>
    <col min="5" max="5" width="21.5703125" customWidth="1"/>
    <col min="6" max="6" width="32.7109375" customWidth="1"/>
    <col min="7" max="7" width="15.42578125" customWidth="1"/>
    <col min="8" max="8" width="22.140625" customWidth="1"/>
  </cols>
  <sheetData>
    <row r="1" spans="1:8">
      <c r="A1" s="2"/>
      <c r="B1" s="2"/>
      <c r="C1" s="3"/>
      <c r="D1" s="3"/>
      <c r="E1" s="2"/>
      <c r="F1" s="2"/>
      <c r="G1" s="2"/>
    </row>
    <row r="2" spans="1:8">
      <c r="A2" s="8"/>
      <c r="B2" s="8" t="s">
        <v>351</v>
      </c>
      <c r="C2" s="7"/>
      <c r="D2" s="7"/>
      <c r="E2" s="6"/>
      <c r="F2" s="2"/>
      <c r="G2" s="2"/>
    </row>
    <row r="3" spans="1:8">
      <c r="A3" s="2"/>
      <c r="B3" s="2"/>
      <c r="C3" s="3"/>
      <c r="D3" s="3"/>
      <c r="E3" s="2"/>
      <c r="F3" s="2"/>
      <c r="G3" s="2"/>
    </row>
    <row r="4" spans="1:8">
      <c r="A4" s="4"/>
      <c r="B4" s="4" t="s">
        <v>7</v>
      </c>
      <c r="C4" s="5" t="s">
        <v>8</v>
      </c>
      <c r="D4" s="5"/>
      <c r="E4" s="2"/>
      <c r="F4" s="2"/>
      <c r="G4" s="2"/>
    </row>
    <row r="5" spans="1:8">
      <c r="A5" s="2" t="s">
        <v>6</v>
      </c>
      <c r="B5" s="2" t="s">
        <v>0</v>
      </c>
      <c r="C5" s="127">
        <f>PI()</f>
        <v>3.1415926535897931</v>
      </c>
      <c r="D5" s="10"/>
      <c r="E5" s="2" t="s">
        <v>11</v>
      </c>
      <c r="F5" s="2"/>
      <c r="G5" s="2"/>
    </row>
    <row r="6" spans="1:8">
      <c r="A6" s="2" t="s">
        <v>26</v>
      </c>
      <c r="B6" s="2" t="s">
        <v>9</v>
      </c>
      <c r="C6" s="127">
        <f>EXP(1)</f>
        <v>2.7182818284590451</v>
      </c>
      <c r="D6" s="10"/>
      <c r="E6" s="2" t="s">
        <v>10</v>
      </c>
      <c r="F6" s="2"/>
      <c r="G6" s="2"/>
    </row>
    <row r="7" spans="1:8">
      <c r="A7" s="2"/>
      <c r="B7" s="2"/>
      <c r="C7" s="3"/>
      <c r="D7" s="3"/>
      <c r="E7" s="2"/>
      <c r="F7" s="2"/>
      <c r="G7" s="2"/>
    </row>
    <row r="8" spans="1:8">
      <c r="A8" s="2"/>
      <c r="B8" s="2"/>
      <c r="C8" s="3"/>
      <c r="D8" s="3"/>
      <c r="E8" s="2"/>
      <c r="F8" s="2"/>
      <c r="G8" s="2"/>
    </row>
    <row r="9" spans="1:8">
      <c r="A9" s="6"/>
      <c r="B9" s="8" t="s">
        <v>369</v>
      </c>
      <c r="C9" s="7"/>
      <c r="D9" s="7"/>
      <c r="E9" s="6"/>
      <c r="F9" s="2"/>
      <c r="G9" s="2"/>
    </row>
    <row r="10" spans="1:8">
      <c r="A10" s="2"/>
      <c r="B10" s="4"/>
      <c r="C10" s="3"/>
      <c r="D10" s="3"/>
      <c r="E10" s="2"/>
      <c r="F10" s="2"/>
      <c r="G10" s="2"/>
    </row>
    <row r="11" spans="1:8">
      <c r="A11" s="2"/>
      <c r="B11" s="4" t="s">
        <v>129</v>
      </c>
      <c r="C11" s="128"/>
      <c r="D11" s="2"/>
      <c r="E11" s="2"/>
      <c r="F11" s="2"/>
      <c r="G11" s="2"/>
    </row>
    <row r="12" spans="1:8">
      <c r="A12" s="2" t="s">
        <v>18</v>
      </c>
      <c r="B12" s="2" t="s">
        <v>24</v>
      </c>
      <c r="C12" s="125">
        <f>(1 + SQRT(5)) / 2</f>
        <v>1.6180339887498949</v>
      </c>
      <c r="D12" s="3" t="s">
        <v>350</v>
      </c>
      <c r="E12" s="2"/>
      <c r="F12" s="2"/>
      <c r="G12" s="2"/>
    </row>
    <row r="13" spans="1:8">
      <c r="A13" s="2"/>
      <c r="B13" s="2"/>
      <c r="C13" s="128"/>
      <c r="D13" s="3"/>
      <c r="E13" s="2"/>
      <c r="F13" s="164" t="s">
        <v>657</v>
      </c>
      <c r="G13" s="2"/>
    </row>
    <row r="14" spans="1:8">
      <c r="A14" s="2" t="s">
        <v>25</v>
      </c>
      <c r="B14" s="2" t="s">
        <v>39</v>
      </c>
      <c r="C14" s="127">
        <f>pi / SQRT(SQRT(4 + pi^4))</f>
        <v>0.98998964081934226</v>
      </c>
      <c r="D14" s="10"/>
      <c r="E14" s="2"/>
      <c r="F14" s="164" t="s">
        <v>686</v>
      </c>
      <c r="G14" s="2"/>
      <c r="H14" s="127"/>
    </row>
    <row r="15" spans="1:8">
      <c r="A15" s="2" t="s">
        <v>14</v>
      </c>
      <c r="B15" s="2" t="s">
        <v>38</v>
      </c>
      <c r="C15" s="125">
        <f>pi / SQRT(SQRT(5 + pi^4))</f>
        <v>0.98756398810612356</v>
      </c>
      <c r="D15" s="3"/>
      <c r="E15" s="2"/>
      <c r="F15" s="164" t="s">
        <v>382</v>
      </c>
      <c r="G15" s="2"/>
    </row>
    <row r="16" spans="1:8">
      <c r="A16" s="2" t="s">
        <v>40</v>
      </c>
      <c r="B16" s="2" t="s">
        <v>41</v>
      </c>
      <c r="C16" s="125">
        <f>pi / SQRT(SQRT(6 + pi^4))</f>
        <v>0.98516776357800506</v>
      </c>
      <c r="D16" s="3"/>
      <c r="E16" s="2"/>
      <c r="F16" s="164" t="s">
        <v>382</v>
      </c>
      <c r="G16" s="2"/>
    </row>
    <row r="17" spans="1:7">
      <c r="A17" s="2" t="s">
        <v>200</v>
      </c>
      <c r="B17" s="2" t="s">
        <v>201</v>
      </c>
      <c r="C17" s="125">
        <f>pi / SQRT(SQRT(6*2^4 + pi^4))</f>
        <v>0.84242384610209275</v>
      </c>
      <c r="D17" s="3"/>
      <c r="E17" s="2"/>
      <c r="F17" s="164" t="s">
        <v>382</v>
      </c>
      <c r="G17" s="2"/>
    </row>
    <row r="18" spans="1:7">
      <c r="A18" s="2"/>
      <c r="B18" s="2"/>
      <c r="C18" s="128"/>
      <c r="D18" s="3"/>
      <c r="E18" s="2"/>
      <c r="F18" s="2"/>
      <c r="G18" s="2"/>
    </row>
    <row r="19" spans="1:7">
      <c r="A19" s="2" t="s">
        <v>35</v>
      </c>
      <c r="B19" s="2" t="s">
        <v>13</v>
      </c>
      <c r="C19" s="125">
        <f>5*eta + 2*SQRT(eta) + 1</f>
        <v>7.9399126669144193</v>
      </c>
      <c r="D19" s="3"/>
      <c r="E19" s="2"/>
      <c r="F19" s="164" t="s">
        <v>685</v>
      </c>
      <c r="G19" s="2"/>
    </row>
    <row r="20" spans="1:7">
      <c r="A20" s="2" t="s">
        <v>483</v>
      </c>
      <c r="B20" s="2"/>
      <c r="C20" s="125">
        <f>5*_eta11 + 2*SQRT(_eta11) + 1</f>
        <v>7.9253450227432918</v>
      </c>
      <c r="D20" s="3"/>
      <c r="E20" s="2"/>
      <c r="F20" s="2"/>
      <c r="G20" s="2"/>
    </row>
    <row r="21" spans="1:7">
      <c r="A21" s="2" t="s">
        <v>371</v>
      </c>
      <c r="B21" s="2"/>
      <c r="C21" s="125">
        <f>5*_eta12 + 2*SQRT(_eta12) + 1</f>
        <v>7.9109511709602547</v>
      </c>
      <c r="D21" s="3"/>
      <c r="E21" s="2"/>
      <c r="F21" s="2"/>
      <c r="G21" s="2"/>
    </row>
    <row r="22" spans="1:7">
      <c r="A22" s="2" t="s">
        <v>372</v>
      </c>
      <c r="B22" s="2"/>
      <c r="C22" s="125">
        <f>5*_eta22 + 2*SQRT(_eta22) + 1</f>
        <v>7.0477922363610075</v>
      </c>
      <c r="D22" s="3"/>
      <c r="E22" s="2"/>
      <c r="F22" s="2"/>
      <c r="G22" s="2"/>
    </row>
    <row r="23" spans="1:7">
      <c r="A23" s="2"/>
      <c r="B23" s="2"/>
      <c r="C23" s="3"/>
      <c r="D23" s="3"/>
      <c r="E23" s="2"/>
      <c r="F23" s="2"/>
      <c r="G23" s="2"/>
    </row>
    <row r="24" spans="1:7">
      <c r="A24" s="2"/>
      <c r="B24" s="2"/>
      <c r="C24" s="44" t="s">
        <v>124</v>
      </c>
      <c r="D24" s="3"/>
      <c r="E24" s="5" t="s">
        <v>199</v>
      </c>
      <c r="F24" s="9" t="s">
        <v>518</v>
      </c>
      <c r="G24" s="2"/>
    </row>
    <row r="25" spans="1:7">
      <c r="A25" s="2" t="s">
        <v>27</v>
      </c>
      <c r="B25" s="2" t="s">
        <v>130</v>
      </c>
      <c r="C25" s="127">
        <f>(1 - 2/3 * xi*eta^2*(1 - SQRT(eta)) ) / (eta^2*eta^(1/3)) - 1</f>
        <v>1.8322115078164947E-2</v>
      </c>
      <c r="D25" s="3"/>
      <c r="E25" s="153">
        <f xml:space="preserve"> eta^(1/6)*(1-theta*(2*(1-SQRT(eta))/(eta*(1+SQRT(eta))))^2*SQRT(2*eta)) / eta^2 - 1</f>
        <v>1.8322123969773285E-2</v>
      </c>
      <c r="F25" s="205">
        <f>(alfpn-alfp)/alfpn*100</f>
        <v>4.8529353655560805E-5</v>
      </c>
      <c r="G25" s="2"/>
    </row>
    <row r="26" spans="1:7">
      <c r="A26" s="2" t="s">
        <v>28</v>
      </c>
      <c r="B26" s="2" t="s">
        <v>131</v>
      </c>
      <c r="C26" s="127">
        <f>(1 - 2/3 * xi*eta^2*(1 - SQRT(eta)) ) / (eta * eta^(1/3)) - 1</f>
        <v>8.128344944625443E-3</v>
      </c>
      <c r="D26" s="3"/>
      <c r="E26" s="153">
        <f xml:space="preserve"> eta^(1/6)*(1-theta*(2*(1-SQRT(eta))/(eta*(1+SQRT(eta))))^2*SQRT(2*eta)) / eta - 1</f>
        <v>8.1283537472254253E-3</v>
      </c>
      <c r="F26" s="205">
        <f>(alfmn-alfm)/alfmn*100</f>
        <v>1.0829499128609214E-4</v>
      </c>
      <c r="G26" s="2"/>
    </row>
    <row r="27" spans="1:7">
      <c r="A27" s="2"/>
      <c r="B27" s="2"/>
      <c r="C27" s="3"/>
      <c r="D27" s="3"/>
      <c r="E27" s="2"/>
      <c r="F27" s="2"/>
      <c r="G27" s="2"/>
    </row>
    <row r="28" spans="1:7">
      <c r="A28" s="2"/>
      <c r="B28" s="2"/>
      <c r="C28" s="3"/>
      <c r="D28" s="3"/>
      <c r="E28" s="2"/>
      <c r="F28" s="2"/>
      <c r="G28" s="2"/>
    </row>
    <row r="29" spans="1:7">
      <c r="A29" s="2"/>
      <c r="B29" s="2" t="s">
        <v>19</v>
      </c>
      <c r="C29" s="44" t="s">
        <v>124</v>
      </c>
      <c r="D29" s="2"/>
      <c r="E29" s="5" t="s">
        <v>340</v>
      </c>
      <c r="F29" s="9"/>
      <c r="G29" s="2"/>
    </row>
    <row r="30" spans="1:7">
      <c r="A30" s="2"/>
      <c r="B30" s="9" t="s">
        <v>42</v>
      </c>
      <c r="C30" s="129">
        <f>(9*theta* (1 - (1 - SQRT(_eta11))*(1 - SQRT(_eta12))* (SQRT(_eta11)*SQRT(_eta12)) / ( (1+SQRT(_eta11)) * (1+SQRT(_eta12)) )  )) / (2*pi)^5</f>
        <v>7.297160297864042E-3</v>
      </c>
      <c r="D30" s="3"/>
      <c r="E30" s="130">
        <f>(9*theta* (1 -  (1+_eta22) /(eta*_eta11*_eta12) * ( (1-SQRT(eta))/(1+SQRT(eta)) )^2  )) / (2*pi)^5</f>
        <v>7.2971561161259205E-3</v>
      </c>
      <c r="F30" s="164"/>
      <c r="G30" s="2"/>
    </row>
    <row r="31" spans="1:7">
      <c r="A31" s="2" t="s">
        <v>47</v>
      </c>
      <c r="B31" s="9" t="s">
        <v>49</v>
      </c>
      <c r="C31" s="127">
        <f>SQRT(1/2*(1 + SQRT(1 - 4*C30^2)))</f>
        <v>0.99997337395346553</v>
      </c>
      <c r="D31" s="10"/>
      <c r="E31" s="125">
        <f>SQRT(1/2*(1 + SQRT(1 - 4*E30^2)))</f>
        <v>0.99997337398398434</v>
      </c>
      <c r="F31" s="2"/>
      <c r="G31" s="2"/>
    </row>
    <row r="32" spans="1:7">
      <c r="A32" s="2" t="s">
        <v>46</v>
      </c>
      <c r="B32" s="9" t="s">
        <v>48</v>
      </c>
      <c r="C32" s="125">
        <f>SQRT(1/2*(1 - SQRT(1 - 4*C30^2)))</f>
        <v>7.2973545975647232E-3</v>
      </c>
      <c r="D32" s="3"/>
      <c r="E32" s="125">
        <f>SQRT(1/2*(1 - SQRT(1 - 4*E30^2)))</f>
        <v>7.2973504154956069E-3</v>
      </c>
      <c r="F32" s="9" t="s">
        <v>518</v>
      </c>
      <c r="G32" s="2"/>
    </row>
    <row r="33" spans="1:7">
      <c r="A33" s="2"/>
      <c r="B33" s="9" t="s">
        <v>51</v>
      </c>
      <c r="C33" s="125">
        <f>1/C32</f>
        <v>137.03596099519689</v>
      </c>
      <c r="D33" s="3"/>
      <c r="E33" s="125">
        <f>1/E32</f>
        <v>137.03603952970977</v>
      </c>
      <c r="F33" s="247">
        <f>(E33-C33)/E33*100</f>
        <v>5.7309386019870558E-5</v>
      </c>
      <c r="G33" s="2"/>
    </row>
    <row r="34" spans="1:7">
      <c r="A34" s="2"/>
      <c r="B34" s="9" t="s">
        <v>50</v>
      </c>
      <c r="C34" s="125">
        <f>1/C31</f>
        <v>1.0000266267554998</v>
      </c>
      <c r="D34" s="3"/>
      <c r="E34" s="125">
        <f>1/E31</f>
        <v>1.0000266267249793</v>
      </c>
      <c r="F34" s="247">
        <f>(E34-C34)/E34*100</f>
        <v>-3.0519662397498283E-9</v>
      </c>
      <c r="G34" s="2"/>
    </row>
    <row r="35" spans="1:7">
      <c r="A35" s="2"/>
      <c r="B35" s="2"/>
      <c r="C35" s="3"/>
      <c r="D35" s="3"/>
      <c r="E35" s="2"/>
      <c r="F35" s="2"/>
      <c r="G35" s="2"/>
    </row>
    <row r="36" spans="1:7">
      <c r="A36" s="2"/>
      <c r="B36" s="2"/>
      <c r="C36" s="3"/>
      <c r="D36" s="3"/>
      <c r="E36" s="2"/>
      <c r="F36" s="2"/>
      <c r="G36" s="2"/>
    </row>
    <row r="37" spans="1:7">
      <c r="A37" s="6"/>
      <c r="B37" s="8" t="s">
        <v>362</v>
      </c>
      <c r="C37" s="7"/>
      <c r="D37" s="7"/>
      <c r="E37" s="6"/>
      <c r="F37" s="2"/>
      <c r="G37" s="2"/>
    </row>
    <row r="38" spans="1:7">
      <c r="A38" s="2"/>
      <c r="B38" s="2"/>
      <c r="C38" s="3"/>
      <c r="D38" s="3"/>
      <c r="E38" s="2"/>
      <c r="F38" s="2"/>
      <c r="G38" s="2"/>
    </row>
    <row r="39" spans="1:7">
      <c r="A39" s="2"/>
      <c r="B39" s="2"/>
      <c r="C39" s="3"/>
      <c r="D39" s="2" t="s">
        <v>358</v>
      </c>
      <c r="E39" s="2"/>
      <c r="F39" s="2"/>
      <c r="G39" s="2"/>
    </row>
    <row r="40" spans="1:7">
      <c r="A40" s="2"/>
      <c r="B40" s="2"/>
      <c r="C40" s="3"/>
      <c r="D40" s="3" t="s">
        <v>359</v>
      </c>
      <c r="E40" s="2"/>
      <c r="F40" s="2"/>
      <c r="G40" s="2"/>
    </row>
    <row r="41" spans="1:7">
      <c r="A41" s="2"/>
      <c r="B41" s="2"/>
      <c r="C41" s="3"/>
      <c r="D41" s="3"/>
      <c r="E41" s="2"/>
      <c r="F41" s="2"/>
      <c r="G41" s="2"/>
    </row>
    <row r="42" spans="1:7">
      <c r="A42" s="2"/>
      <c r="B42" s="2"/>
      <c r="C42" s="3"/>
      <c r="D42" s="3" t="s">
        <v>360</v>
      </c>
      <c r="E42" s="2"/>
      <c r="F42" s="2"/>
      <c r="G42" s="2"/>
    </row>
    <row r="43" spans="1:7">
      <c r="A43" s="2"/>
      <c r="B43" s="2"/>
      <c r="C43" s="3"/>
      <c r="D43" s="3" t="s">
        <v>361</v>
      </c>
      <c r="E43" s="2"/>
      <c r="F43" s="2"/>
      <c r="G43" s="2"/>
    </row>
    <row r="44" spans="1:7">
      <c r="A44" s="2"/>
      <c r="B44" s="2"/>
      <c r="C44" s="3"/>
      <c r="D44" s="3"/>
      <c r="E44" s="2"/>
      <c r="F44" s="2"/>
      <c r="G44" s="2"/>
    </row>
    <row r="45" spans="1:7">
      <c r="A45" s="2"/>
      <c r="B45" s="2"/>
      <c r="C45" s="3"/>
      <c r="D45" s="3"/>
      <c r="E45" s="2"/>
      <c r="F45" s="2"/>
      <c r="G45" s="2"/>
    </row>
    <row r="46" spans="1:7">
      <c r="A46" s="2"/>
      <c r="B46" s="2"/>
      <c r="C46" s="3"/>
      <c r="D46" s="3"/>
      <c r="E46" s="2"/>
      <c r="F46" s="2"/>
      <c r="G46" s="2"/>
    </row>
    <row r="47" spans="1:7">
      <c r="A47" s="2"/>
      <c r="B47" s="2"/>
      <c r="C47" s="3"/>
      <c r="D47" s="3"/>
      <c r="E47" s="2"/>
      <c r="F47" s="2"/>
      <c r="G47" s="2"/>
    </row>
    <row r="48" spans="1:7">
      <c r="A48" s="2"/>
      <c r="B48" s="2"/>
      <c r="C48" s="3"/>
      <c r="D48" s="3"/>
      <c r="E48" s="2"/>
      <c r="F48" s="2"/>
      <c r="G48" s="2"/>
    </row>
    <row r="49" spans="1:7">
      <c r="A49" s="2"/>
      <c r="B49" s="2"/>
      <c r="C49" s="3"/>
      <c r="D49" s="3"/>
      <c r="E49" s="2"/>
      <c r="F49" s="2"/>
      <c r="G49" s="2"/>
    </row>
    <row r="50" spans="1:7">
      <c r="A50" s="2"/>
      <c r="B50" s="2"/>
      <c r="C50" s="3"/>
      <c r="D50" s="3"/>
      <c r="E50" s="2"/>
      <c r="F50" s="2"/>
      <c r="G50" s="2"/>
    </row>
    <row r="51" spans="1:7">
      <c r="A51" s="2"/>
      <c r="B51" s="2"/>
      <c r="C51" s="3"/>
      <c r="D51" s="3"/>
      <c r="E51" s="2"/>
      <c r="F51" s="2"/>
      <c r="G51" s="2"/>
    </row>
    <row r="52" spans="1:7">
      <c r="A52" s="2"/>
      <c r="B52" s="2"/>
      <c r="C52" s="3"/>
      <c r="D52" s="3"/>
      <c r="E52" s="2"/>
      <c r="F52" s="2"/>
      <c r="G52" s="2"/>
    </row>
    <row r="53" spans="1:7">
      <c r="A53" s="2"/>
      <c r="B53" s="2"/>
      <c r="C53" s="3"/>
      <c r="D53" s="3"/>
      <c r="E53" s="2"/>
      <c r="F53" s="2"/>
      <c r="G53" s="2"/>
    </row>
    <row r="54" spans="1:7">
      <c r="A54" s="2"/>
      <c r="B54" s="40" t="s">
        <v>352</v>
      </c>
      <c r="C54" s="3"/>
      <c r="D54" s="3"/>
      <c r="E54" s="2"/>
      <c r="F54" s="2"/>
      <c r="G54" s="2"/>
    </row>
    <row r="55" spans="1:7">
      <c r="A55" s="2"/>
      <c r="B55" s="2"/>
      <c r="C55" s="3"/>
      <c r="D55" s="3"/>
      <c r="E55" s="2"/>
      <c r="F55" s="2"/>
      <c r="G55" s="2"/>
    </row>
    <row r="56" spans="1:7">
      <c r="A56" s="2"/>
      <c r="B56" s="2"/>
      <c r="C56" s="3"/>
      <c r="D56" s="3"/>
      <c r="E56" s="2"/>
      <c r="F56" s="2"/>
      <c r="G56" s="2"/>
    </row>
    <row r="57" spans="1:7">
      <c r="A57" s="2"/>
      <c r="B57" s="4" t="s">
        <v>7</v>
      </c>
      <c r="C57" s="2"/>
      <c r="D57" s="3"/>
      <c r="E57" s="5" t="s">
        <v>8</v>
      </c>
      <c r="F57" s="2"/>
      <c r="G57" s="2"/>
    </row>
    <row r="58" spans="1:7">
      <c r="A58" s="2" t="s">
        <v>20</v>
      </c>
      <c r="B58" s="2" t="s">
        <v>23</v>
      </c>
      <c r="C58" s="3"/>
      <c r="D58" s="3"/>
      <c r="E58" s="146">
        <v>1</v>
      </c>
      <c r="F58" s="10" t="s">
        <v>22</v>
      </c>
      <c r="G58" s="2"/>
    </row>
    <row r="59" spans="1:7">
      <c r="A59" s="2"/>
      <c r="B59" s="2"/>
      <c r="C59" s="128"/>
      <c r="D59" s="3"/>
      <c r="E59" s="2"/>
      <c r="F59" s="2"/>
      <c r="G59" s="2"/>
    </row>
    <row r="60" spans="1:7">
      <c r="A60" s="2"/>
      <c r="B60" s="2"/>
      <c r="C60" s="3"/>
      <c r="D60" s="3"/>
      <c r="E60" s="2"/>
      <c r="F60" s="2"/>
      <c r="G60" s="2"/>
    </row>
    <row r="61" spans="1:7">
      <c r="A61" s="2"/>
      <c r="B61" s="4" t="s">
        <v>370</v>
      </c>
      <c r="C61" s="3"/>
      <c r="D61" s="3"/>
      <c r="E61" s="2"/>
      <c r="F61" s="2"/>
      <c r="G61" s="2"/>
    </row>
    <row r="62" spans="1:7">
      <c r="A62" s="2"/>
      <c r="B62" s="2"/>
      <c r="C62" s="128"/>
      <c r="D62" s="3"/>
      <c r="E62" s="5" t="s">
        <v>8</v>
      </c>
      <c r="F62" s="2"/>
      <c r="G62" s="2"/>
    </row>
    <row r="63" spans="1:7">
      <c r="A63" s="2" t="s">
        <v>30</v>
      </c>
      <c r="B63" s="2" t="s">
        <v>301</v>
      </c>
      <c r="C63" s="2"/>
      <c r="D63" s="46">
        <v>6</v>
      </c>
      <c r="E63" s="153">
        <f>INDEX(Table5,D63,3)</f>
        <v>376.73031346099998</v>
      </c>
      <c r="F63" s="40" t="str">
        <f>INDEX(Table5,D63,2)</f>
        <v>CODATA 2014</v>
      </c>
      <c r="G63" s="2"/>
    </row>
    <row r="64" spans="1:7">
      <c r="A64" s="2" t="s">
        <v>16</v>
      </c>
      <c r="B64" s="2" t="s">
        <v>300</v>
      </c>
      <c r="C64" s="2"/>
      <c r="D64" s="46">
        <v>1</v>
      </c>
      <c r="E64" s="153">
        <f>INDEX(Table4,D64,3)</f>
        <v>299792465.33880228</v>
      </c>
      <c r="F64" s="40" t="str">
        <f>INDEX(Table4,D64,2)</f>
        <v>Berechnet aus µ0 und e0</v>
      </c>
      <c r="G64" s="2"/>
    </row>
    <row r="65" spans="1:7">
      <c r="A65" s="2"/>
      <c r="B65" s="4"/>
      <c r="C65" s="3"/>
      <c r="D65" s="3"/>
      <c r="E65" s="2"/>
      <c r="F65" s="2"/>
      <c r="G65" s="2"/>
    </row>
    <row r="66" spans="1:7">
      <c r="A66" s="2"/>
      <c r="B66" s="4" t="s">
        <v>684</v>
      </c>
      <c r="C66" s="3"/>
      <c r="D66" s="3"/>
      <c r="E66" s="2"/>
      <c r="F66" s="2"/>
      <c r="G66" s="2"/>
    </row>
    <row r="67" spans="1:7">
      <c r="A67" s="17" t="s">
        <v>1</v>
      </c>
      <c r="B67" s="2" t="s">
        <v>2</v>
      </c>
      <c r="C67" s="140">
        <f>INDEX(Table10,D67,3)</f>
        <v>1.2566369999999999E-6</v>
      </c>
      <c r="D67" s="46">
        <v>1</v>
      </c>
      <c r="E67" s="40" t="str">
        <f>INDEX(Table10,D67,2)</f>
        <v>Heim Formel</v>
      </c>
      <c r="F67" s="2"/>
      <c r="G67" s="2"/>
    </row>
    <row r="68" spans="1:7">
      <c r="A68" s="2" t="s">
        <v>4</v>
      </c>
      <c r="B68" s="2" t="s">
        <v>3</v>
      </c>
      <c r="C68" s="140">
        <f>INDEX(Table11,D68,3)</f>
        <v>8.8541878170000005E-12</v>
      </c>
      <c r="D68" s="46">
        <v>1</v>
      </c>
      <c r="E68" s="40" t="str">
        <f>INDEX(Table11,D68,2)</f>
        <v>Heim Formel</v>
      </c>
      <c r="F68" s="2"/>
      <c r="G68" s="2"/>
    </row>
    <row r="69" spans="1:7">
      <c r="A69" s="2"/>
      <c r="B69" s="4" t="s">
        <v>355</v>
      </c>
      <c r="C69" s="3"/>
      <c r="D69" s="3"/>
      <c r="E69" s="2"/>
      <c r="F69" s="2"/>
      <c r="G69" s="2"/>
    </row>
    <row r="70" spans="1:7">
      <c r="A70" s="2"/>
      <c r="B70" s="2" t="s">
        <v>17</v>
      </c>
      <c r="C70" s="2"/>
      <c r="D70" s="2"/>
      <c r="E70" s="145">
        <f>1/SQRT(my0*e0)</f>
        <v>299792465.33880228</v>
      </c>
      <c r="F70" s="10" t="s">
        <v>348</v>
      </c>
      <c r="G70" s="2"/>
    </row>
    <row r="71" spans="1:7">
      <c r="A71" s="2"/>
      <c r="B71" s="2" t="s">
        <v>29</v>
      </c>
      <c r="C71" s="2"/>
      <c r="D71" s="2"/>
      <c r="E71" s="145">
        <f>SQRT(my0/e0)</f>
        <v>376.73030426595642</v>
      </c>
      <c r="F71" s="10" t="s">
        <v>349</v>
      </c>
      <c r="G71" s="2"/>
    </row>
    <row r="72" spans="1:7">
      <c r="A72" s="2"/>
      <c r="B72" s="4"/>
      <c r="C72" s="3"/>
      <c r="D72" s="3"/>
      <c r="E72" s="2"/>
      <c r="F72" s="2"/>
      <c r="G72" s="2"/>
    </row>
    <row r="73" spans="1:7">
      <c r="A73" s="2"/>
      <c r="B73" s="2"/>
      <c r="C73" s="128"/>
      <c r="D73" s="3"/>
      <c r="E73" s="2"/>
      <c r="F73" s="2"/>
      <c r="G73" s="2"/>
    </row>
    <row r="74" spans="1:7">
      <c r="A74" s="2"/>
      <c r="B74" s="4" t="s">
        <v>357</v>
      </c>
      <c r="C74" s="128"/>
      <c r="D74" s="3"/>
      <c r="E74" s="2"/>
      <c r="F74" s="2"/>
      <c r="G74" s="2"/>
    </row>
    <row r="75" spans="1:7">
      <c r="A75" s="2"/>
      <c r="B75" s="2"/>
      <c r="C75" s="128"/>
      <c r="D75" s="3"/>
      <c r="E75" s="5" t="s">
        <v>8</v>
      </c>
      <c r="F75" s="2"/>
      <c r="G75" s="2"/>
    </row>
    <row r="76" spans="1:7">
      <c r="A76" s="2" t="s">
        <v>5</v>
      </c>
      <c r="B76" s="2" t="s">
        <v>354</v>
      </c>
      <c r="C76" s="147"/>
      <c r="D76" s="46">
        <v>4</v>
      </c>
      <c r="E76" s="154">
        <f>INDEX(Table7,D76,3)</f>
        <v>1.0545718E-34</v>
      </c>
      <c r="F76" s="40" t="str">
        <f>INDEX(Table7,D76,2)</f>
        <v>CODATA 2014</v>
      </c>
      <c r="G76" s="148" t="s">
        <v>21</v>
      </c>
    </row>
    <row r="77" spans="1:7">
      <c r="A77" s="2" t="s">
        <v>303</v>
      </c>
      <c r="B77" s="2" t="s">
        <v>302</v>
      </c>
      <c r="C77" s="147"/>
      <c r="D77" s="46">
        <v>11</v>
      </c>
      <c r="E77" s="153">
        <f>INDEX(TableGamma,D77,3)</f>
        <v>6.6740800000000003E-11</v>
      </c>
      <c r="F77" s="40" t="str">
        <f>INDEX(TableGamma,D77,2)</f>
        <v>CODATA 2014</v>
      </c>
      <c r="G77" s="148" t="s">
        <v>126</v>
      </c>
    </row>
    <row r="78" spans="1:7">
      <c r="A78" s="2"/>
      <c r="B78" s="2"/>
      <c r="C78" s="2"/>
      <c r="D78" s="137"/>
      <c r="E78" s="246" t="str">
        <f>INDEX(TableGamma,D77, 4)</f>
        <v>(Beschreibung)</v>
      </c>
      <c r="F78" s="2"/>
      <c r="G78" s="38"/>
    </row>
    <row r="79" spans="1:7">
      <c r="A79" s="2" t="s">
        <v>118</v>
      </c>
      <c r="B79" s="2" t="s">
        <v>365</v>
      </c>
      <c r="C79" s="2"/>
      <c r="D79" s="46">
        <v>3</v>
      </c>
      <c r="E79" s="154">
        <f>INDEX(Table8,D79,3)</f>
        <v>5.6095449999999997E+29</v>
      </c>
      <c r="F79" s="40" t="str">
        <f>INDEX(Table8,D79,2)</f>
        <v>Heim 1989b</v>
      </c>
      <c r="G79" s="3" t="s">
        <v>125</v>
      </c>
    </row>
    <row r="80" spans="1:7">
      <c r="A80" s="2"/>
      <c r="B80" s="2"/>
      <c r="C80" s="2"/>
      <c r="D80" s="137"/>
      <c r="E80" s="60"/>
      <c r="F80" s="2"/>
      <c r="G80" s="38"/>
    </row>
    <row r="81" spans="1:7">
      <c r="A81" s="2"/>
      <c r="B81" s="2"/>
      <c r="C81" s="2"/>
      <c r="D81" s="137"/>
      <c r="E81" s="60"/>
      <c r="F81" s="2"/>
      <c r="G81" s="38"/>
    </row>
    <row r="82" spans="1:7">
      <c r="A82" s="2"/>
      <c r="B82" s="4" t="s">
        <v>364</v>
      </c>
      <c r="C82" s="128"/>
      <c r="D82" s="3"/>
      <c r="E82" s="2"/>
      <c r="F82" s="2"/>
      <c r="G82" s="2"/>
    </row>
    <row r="83" spans="1:7">
      <c r="A83" s="2"/>
      <c r="B83" s="2"/>
      <c r="C83" s="128"/>
      <c r="D83" s="3"/>
      <c r="E83" s="2"/>
      <c r="F83" s="2"/>
      <c r="G83" s="2"/>
    </row>
    <row r="84" spans="1:7">
      <c r="A84" s="2" t="s">
        <v>31</v>
      </c>
      <c r="B84" s="2" t="s">
        <v>711</v>
      </c>
      <c r="C84" s="3"/>
      <c r="D84" s="3"/>
      <c r="E84" s="151">
        <f>3 * SQRT(2*theta*hq / Rg) / (4 * pi^2 )</f>
        <v>1.602164748713722E-19</v>
      </c>
      <c r="F84" s="10" t="s">
        <v>345</v>
      </c>
      <c r="G84" s="2"/>
    </row>
    <row r="85" spans="1:7">
      <c r="A85" s="2"/>
      <c r="B85" s="2" t="s">
        <v>37</v>
      </c>
      <c r="C85" s="3"/>
      <c r="D85" s="3"/>
      <c r="E85" s="145">
        <f>pi^(1/4) * (3*pi*gamma*hq*s0)^(1/3) * SQRT(_c*hq / (3*gamma)) / (_c*s0)</f>
        <v>2.2589420334427637E-31</v>
      </c>
      <c r="F85" s="138" t="s">
        <v>366</v>
      </c>
      <c r="G85" s="2"/>
    </row>
    <row r="86" spans="1:7">
      <c r="A86" s="2"/>
      <c r="B86" s="2"/>
      <c r="C86" s="145"/>
      <c r="D86" s="10"/>
      <c r="E86" s="2"/>
      <c r="F86" s="2"/>
      <c r="G86" s="2"/>
    </row>
    <row r="87" spans="1:7">
      <c r="A87" s="2"/>
      <c r="B87" s="2" t="s">
        <v>712</v>
      </c>
      <c r="C87" s="145"/>
      <c r="D87" s="10"/>
      <c r="E87" s="5" t="s">
        <v>8</v>
      </c>
      <c r="F87" s="2"/>
      <c r="G87" s="2"/>
    </row>
    <row r="88" spans="1:7">
      <c r="A88" s="2" t="s">
        <v>36</v>
      </c>
      <c r="B88" s="2" t="s">
        <v>347</v>
      </c>
      <c r="C88" s="3"/>
      <c r="D88" s="46">
        <v>1</v>
      </c>
      <c r="E88" s="152">
        <f>INDEX(table6,D88,3)</f>
        <v>2.2589420334427637E-31</v>
      </c>
      <c r="F88" s="40" t="str">
        <f>INDEX(table6,D88,2)</f>
        <v>Berechnet auf Seite 1</v>
      </c>
      <c r="G88" s="2"/>
    </row>
    <row r="89" spans="1:7">
      <c r="A89" s="2"/>
      <c r="B89" s="2"/>
      <c r="C89" s="3"/>
      <c r="D89" s="3"/>
      <c r="E89" s="2"/>
      <c r="F89" s="2"/>
      <c r="G89" s="2"/>
    </row>
    <row r="90" spans="1:7">
      <c r="A90" s="2"/>
      <c r="B90" s="2"/>
      <c r="C90" s="3"/>
      <c r="D90" s="3"/>
      <c r="E90" s="2"/>
      <c r="F90" s="2"/>
      <c r="G90" s="2"/>
    </row>
    <row r="91" spans="1:7">
      <c r="A91" s="2"/>
      <c r="B91" s="2"/>
      <c r="C91" s="3"/>
      <c r="D91" s="3"/>
      <c r="E91" s="2"/>
      <c r="F91" s="2"/>
      <c r="G91" s="2"/>
    </row>
    <row r="92" spans="1:7">
      <c r="A92" s="2"/>
      <c r="B92" s="2"/>
      <c r="C92" s="3"/>
      <c r="D92" s="3"/>
      <c r="E92" s="2"/>
      <c r="F92" s="2"/>
      <c r="G92" s="2"/>
    </row>
    <row r="93" spans="1:7">
      <c r="A93" s="2"/>
      <c r="B93" s="2"/>
      <c r="C93" s="3"/>
      <c r="D93" s="3"/>
      <c r="E93" s="2"/>
      <c r="F93" s="2"/>
      <c r="G93" s="2"/>
    </row>
    <row r="94" spans="1:7">
      <c r="A94" s="2"/>
      <c r="B94" s="2"/>
      <c r="C94" s="3"/>
      <c r="D94" s="3"/>
      <c r="E94" s="2"/>
      <c r="F94" s="2"/>
      <c r="G94" s="2"/>
    </row>
    <row r="95" spans="1:7">
      <c r="A95" s="2"/>
      <c r="B95" s="2"/>
      <c r="C95" s="3"/>
      <c r="D95" s="3"/>
      <c r="E95" s="2"/>
      <c r="F95" s="2"/>
      <c r="G95" s="2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/>
  <dimension ref="A1:M262"/>
  <sheetViews>
    <sheetView zoomScale="95" workbookViewId="0">
      <selection activeCell="D10" sqref="D10"/>
    </sheetView>
  </sheetViews>
  <sheetFormatPr baseColWidth="10" defaultRowHeight="12.75"/>
  <cols>
    <col min="1" max="1" width="8.7109375" customWidth="1"/>
    <col min="2" max="2" width="8.28515625" customWidth="1"/>
    <col min="3" max="3" width="67.7109375" customWidth="1"/>
    <col min="4" max="4" width="13" customWidth="1"/>
    <col min="5" max="5" width="22.28515625" style="36" customWidth="1"/>
    <col min="6" max="6" width="16.140625" style="39" customWidth="1"/>
    <col min="7" max="7" width="16.5703125" customWidth="1"/>
    <col min="8" max="8" width="11.140625" customWidth="1"/>
    <col min="9" max="9" width="14.42578125" customWidth="1"/>
    <col min="10" max="10" width="14.85546875" customWidth="1"/>
    <col min="12" max="12" width="11.42578125" style="322"/>
    <col min="13" max="13" width="12.42578125" style="322" bestFit="1" customWidth="1"/>
  </cols>
  <sheetData>
    <row r="1" spans="1:13" ht="15.75">
      <c r="A1" s="257" t="s">
        <v>128</v>
      </c>
      <c r="B1" s="2"/>
      <c r="C1" s="2"/>
      <c r="D1" s="2"/>
      <c r="E1" s="9"/>
      <c r="F1" s="38"/>
      <c r="G1" s="2"/>
      <c r="H1" s="2"/>
      <c r="I1" s="2"/>
    </row>
    <row r="2" spans="1:13" ht="15.75">
      <c r="A2" s="257"/>
      <c r="B2" s="2"/>
      <c r="C2" s="2"/>
      <c r="D2" s="2"/>
      <c r="E2" s="9"/>
      <c r="F2" s="38"/>
      <c r="G2" s="2"/>
      <c r="H2" s="2"/>
      <c r="I2" s="2"/>
    </row>
    <row r="3" spans="1:13">
      <c r="A3" s="2" t="s">
        <v>729</v>
      </c>
      <c r="B3" s="2"/>
      <c r="C3" s="2"/>
      <c r="D3" s="2"/>
      <c r="E3" s="9"/>
      <c r="F3" s="38"/>
      <c r="G3" s="2"/>
      <c r="H3" s="2"/>
      <c r="I3" s="2"/>
    </row>
    <row r="4" spans="1:13">
      <c r="A4" s="2"/>
      <c r="B4" s="2"/>
      <c r="C4" s="2"/>
      <c r="D4" s="2"/>
      <c r="E4" s="9"/>
      <c r="F4" s="38"/>
      <c r="G4" s="2"/>
      <c r="H4" s="2"/>
      <c r="I4" s="2"/>
    </row>
    <row r="5" spans="1:13">
      <c r="A5" s="8" t="s">
        <v>165</v>
      </c>
      <c r="B5" s="37"/>
      <c r="C5" s="8" t="s">
        <v>167</v>
      </c>
      <c r="D5" s="6"/>
      <c r="E5" s="33"/>
      <c r="F5" s="37" t="s">
        <v>392</v>
      </c>
      <c r="G5" s="37" t="s">
        <v>166</v>
      </c>
      <c r="H5" s="8" t="s">
        <v>389</v>
      </c>
      <c r="I5" s="165" t="s">
        <v>171</v>
      </c>
    </row>
    <row r="6" spans="1:13">
      <c r="A6" s="57">
        <v>1989</v>
      </c>
      <c r="B6" s="57">
        <v>1982</v>
      </c>
      <c r="C6" s="4"/>
      <c r="D6" s="2"/>
      <c r="E6" s="9"/>
      <c r="F6" s="25"/>
      <c r="G6" s="2"/>
      <c r="H6" s="2"/>
      <c r="I6" s="2"/>
    </row>
    <row r="7" spans="1:13">
      <c r="A7" s="2" t="s">
        <v>58</v>
      </c>
      <c r="B7" s="2" t="s">
        <v>58</v>
      </c>
      <c r="C7" s="2" t="s">
        <v>95</v>
      </c>
      <c r="D7" s="46">
        <v>1</v>
      </c>
      <c r="E7" s="9"/>
      <c r="F7" s="25"/>
      <c r="G7" s="2"/>
      <c r="H7" s="2"/>
      <c r="I7" s="2"/>
    </row>
    <row r="8" spans="1:13">
      <c r="A8" s="2"/>
      <c r="B8" s="2"/>
      <c r="C8" s="2" t="s">
        <v>123</v>
      </c>
      <c r="D8" s="46">
        <v>6</v>
      </c>
      <c r="E8" s="9"/>
      <c r="F8" s="25"/>
      <c r="G8" s="2"/>
      <c r="H8" s="2"/>
      <c r="I8" s="2"/>
    </row>
    <row r="9" spans="1:13">
      <c r="A9" s="2"/>
      <c r="B9" s="2"/>
      <c r="C9" s="9" t="s">
        <v>119</v>
      </c>
      <c r="D9" s="60" t="str">
        <f>INDEX(Table2,D8,2)</f>
        <v>CODATA 2014</v>
      </c>
      <c r="E9" s="9"/>
      <c r="F9" s="25"/>
      <c r="G9" s="2"/>
      <c r="H9" s="2"/>
      <c r="I9" s="2"/>
    </row>
    <row r="10" spans="1:13">
      <c r="A10" s="2"/>
      <c r="B10" s="2"/>
      <c r="C10" s="9" t="s">
        <v>120</v>
      </c>
      <c r="D10" s="30">
        <f>INDEX(Table2,D8,3)</f>
        <v>7.2973525663999998E-3</v>
      </c>
      <c r="E10" s="9"/>
      <c r="F10" s="25"/>
      <c r="G10" s="2"/>
      <c r="H10" s="2"/>
      <c r="I10" s="2"/>
    </row>
    <row r="11" spans="1:13">
      <c r="A11" s="2"/>
      <c r="B11" s="2"/>
      <c r="C11" s="9" t="s">
        <v>121</v>
      </c>
      <c r="D11" s="30">
        <f>INDEX(Table2,D8,4)</f>
        <v>0.99997337255024588</v>
      </c>
      <c r="E11" s="9"/>
      <c r="F11" s="25"/>
      <c r="G11" s="2"/>
      <c r="H11" s="2"/>
      <c r="I11" s="2"/>
    </row>
    <row r="12" spans="1:13">
      <c r="A12" s="2"/>
      <c r="B12" s="2"/>
      <c r="C12" s="9" t="s">
        <v>51</v>
      </c>
      <c r="D12" s="29">
        <f>INDEX(Table2,D8,5)</f>
        <v>137.03599913815452</v>
      </c>
      <c r="E12" s="9"/>
      <c r="F12" s="25"/>
      <c r="G12" s="2"/>
      <c r="H12" s="2"/>
      <c r="I12" s="2"/>
    </row>
    <row r="13" spans="1:13">
      <c r="A13" s="2"/>
      <c r="B13" s="2"/>
      <c r="C13" s="9" t="s">
        <v>50</v>
      </c>
      <c r="D13" s="29">
        <f>INDEX(Table2,D8,6)</f>
        <v>1.0000266281587942</v>
      </c>
      <c r="E13" s="9"/>
      <c r="F13" s="25"/>
      <c r="G13" s="2"/>
      <c r="H13" s="2"/>
      <c r="I13" s="2"/>
    </row>
    <row r="14" spans="1:13">
      <c r="A14" s="2"/>
      <c r="B14" s="2"/>
      <c r="C14" s="9"/>
      <c r="D14" s="29"/>
      <c r="E14" s="9"/>
      <c r="F14" s="25"/>
      <c r="G14" s="2"/>
      <c r="H14" s="2"/>
      <c r="I14" s="2"/>
    </row>
    <row r="15" spans="1:13" ht="13.5" thickBot="1">
      <c r="A15" s="4"/>
      <c r="B15" s="4"/>
      <c r="C15" s="17"/>
      <c r="D15" s="2"/>
      <c r="E15" s="9"/>
      <c r="F15" s="25"/>
      <c r="G15" s="2"/>
      <c r="H15" s="2"/>
      <c r="I15" s="2"/>
    </row>
    <row r="16" spans="1:13" ht="13.5" thickBot="1">
      <c r="A16" s="17"/>
      <c r="B16" s="17"/>
      <c r="C16" s="17" t="s">
        <v>202</v>
      </c>
      <c r="D16" s="262">
        <v>22</v>
      </c>
      <c r="E16" s="9"/>
      <c r="F16" s="157" t="s">
        <v>724</v>
      </c>
      <c r="G16" s="157" t="s">
        <v>725</v>
      </c>
      <c r="H16" s="2" t="s">
        <v>659</v>
      </c>
      <c r="I16" s="2"/>
      <c r="L16" s="323"/>
      <c r="M16" s="324"/>
    </row>
    <row r="17" spans="1:13">
      <c r="A17" s="4"/>
      <c r="B17" s="4"/>
      <c r="C17" s="17" t="s">
        <v>57</v>
      </c>
      <c r="D17" s="347" t="str">
        <f>INDEX(Table1,D16,2)</f>
        <v>o-- (1982)</v>
      </c>
      <c r="E17" s="347"/>
      <c r="F17" s="25"/>
      <c r="G17" s="2"/>
      <c r="H17" s="2"/>
      <c r="I17" s="2"/>
      <c r="M17" s="325"/>
    </row>
    <row r="18" spans="1:13">
      <c r="A18" s="2" t="s">
        <v>52</v>
      </c>
      <c r="B18" s="2" t="s">
        <v>52</v>
      </c>
      <c r="C18" s="2" t="s">
        <v>132</v>
      </c>
      <c r="D18" s="4">
        <f>INDEX(Table1,D16,3)</f>
        <v>2</v>
      </c>
      <c r="E18" s="9"/>
      <c r="F18" s="25"/>
      <c r="G18" s="2"/>
      <c r="H18" s="2"/>
      <c r="I18" s="2"/>
      <c r="M18" s="325"/>
    </row>
    <row r="19" spans="1:13">
      <c r="A19" s="2" t="s">
        <v>93</v>
      </c>
      <c r="B19" s="2" t="s">
        <v>93</v>
      </c>
      <c r="C19" s="2" t="s">
        <v>463</v>
      </c>
      <c r="D19" s="4">
        <f>INDEX(Table1,D16,4)</f>
        <v>3</v>
      </c>
      <c r="E19" s="9"/>
      <c r="F19" s="25"/>
      <c r="G19" s="2"/>
      <c r="H19" s="2"/>
      <c r="I19" s="2"/>
      <c r="M19" s="325"/>
    </row>
    <row r="20" spans="1:13">
      <c r="A20" s="2" t="s">
        <v>94</v>
      </c>
      <c r="B20" s="2" t="s">
        <v>94</v>
      </c>
      <c r="C20" s="2" t="s">
        <v>56</v>
      </c>
      <c r="D20" s="4">
        <f>INDEX(Table1,D16,5)</f>
        <v>1</v>
      </c>
      <c r="E20" s="9"/>
      <c r="F20" s="25"/>
      <c r="G20" s="2"/>
      <c r="H20" s="2"/>
      <c r="I20" s="2"/>
      <c r="M20" s="325"/>
    </row>
    <row r="21" spans="1:13">
      <c r="A21" s="2" t="s">
        <v>53</v>
      </c>
      <c r="B21" s="2" t="s">
        <v>53</v>
      </c>
      <c r="C21" s="2" t="s">
        <v>54</v>
      </c>
      <c r="D21" s="4">
        <f>INDEX(Table1,D16,6)</f>
        <v>0</v>
      </c>
      <c r="E21" s="9"/>
      <c r="F21" s="25"/>
      <c r="G21" s="2"/>
      <c r="H21" s="2"/>
      <c r="I21" s="2"/>
      <c r="M21" s="325"/>
    </row>
    <row r="22" spans="1:13">
      <c r="A22" s="2" t="s">
        <v>12</v>
      </c>
      <c r="B22" s="2" t="s">
        <v>12</v>
      </c>
      <c r="C22" s="2" t="s">
        <v>169</v>
      </c>
      <c r="D22" s="17">
        <f>INDEX(Table1,D16,7)</f>
        <v>4</v>
      </c>
      <c r="E22" s="9"/>
      <c r="F22" s="157"/>
      <c r="G22" s="41" t="s">
        <v>137</v>
      </c>
      <c r="H22" s="2"/>
      <c r="I22" s="2"/>
      <c r="M22" s="325"/>
    </row>
    <row r="23" spans="1:13">
      <c r="A23" s="2"/>
      <c r="B23" s="2"/>
      <c r="C23" s="2"/>
      <c r="D23" s="17"/>
      <c r="E23" s="9"/>
      <c r="F23" s="25"/>
      <c r="G23" s="2"/>
      <c r="H23" s="213" t="s">
        <v>491</v>
      </c>
      <c r="I23" s="2"/>
      <c r="M23" s="325"/>
    </row>
    <row r="24" spans="1:13">
      <c r="A24" s="2" t="s">
        <v>212</v>
      </c>
      <c r="B24" s="2" t="s">
        <v>212</v>
      </c>
      <c r="C24" s="2" t="s">
        <v>213</v>
      </c>
      <c r="D24" s="46">
        <v>0</v>
      </c>
      <c r="E24" s="228" t="str">
        <f>D239</f>
        <v>zugelassen</v>
      </c>
      <c r="F24" s="38"/>
      <c r="G24" s="2"/>
      <c r="H24" s="58" t="str">
        <f>IF(fn&gt;temp1,"Dieser Wert ist zu hoch!","")</f>
        <v/>
      </c>
      <c r="I24" s="2"/>
      <c r="M24" s="325"/>
    </row>
    <row r="25" spans="1:13">
      <c r="A25" s="2"/>
      <c r="B25" s="2"/>
      <c r="C25" s="19" t="str">
        <f>IF(N=1,"Der Wert 1 ist nicht erlaubt. Bitte geben Sie einen anderen Wert ein!","")</f>
        <v/>
      </c>
      <c r="D25" s="28"/>
      <c r="E25" s="38" t="str">
        <f>C202</f>
        <v/>
      </c>
      <c r="F25" s="25"/>
      <c r="G25" s="2"/>
      <c r="H25" s="2"/>
      <c r="I25" s="2"/>
      <c r="M25" s="325"/>
    </row>
    <row r="26" spans="1:13">
      <c r="A26" s="2"/>
      <c r="B26" s="2"/>
      <c r="C26" s="2"/>
      <c r="D26" s="2"/>
      <c r="E26" s="9"/>
      <c r="F26" s="25"/>
      <c r="G26" s="2"/>
      <c r="H26" s="2"/>
      <c r="I26" s="2"/>
      <c r="M26" s="325"/>
    </row>
    <row r="27" spans="1:13">
      <c r="A27" s="2"/>
      <c r="B27" s="2"/>
      <c r="C27" s="42" t="s">
        <v>122</v>
      </c>
      <c r="D27" s="21"/>
      <c r="E27" s="56"/>
      <c r="F27" s="158"/>
      <c r="G27" s="2"/>
      <c r="H27" s="2"/>
      <c r="I27" s="2"/>
      <c r="M27" s="325"/>
    </row>
    <row r="28" spans="1:13">
      <c r="A28" s="2"/>
      <c r="B28" s="20" t="s">
        <v>60</v>
      </c>
      <c r="C28" s="2"/>
      <c r="D28" s="18">
        <f xml:space="preserve"> eps*COS( pi * Q * (kappa + P..2) )</f>
        <v>-1</v>
      </c>
      <c r="E28" s="9"/>
      <c r="F28" s="157" t="s">
        <v>390</v>
      </c>
      <c r="G28" s="41" t="s">
        <v>388</v>
      </c>
      <c r="H28" s="2"/>
      <c r="I28" s="2"/>
      <c r="M28" s="325"/>
    </row>
    <row r="29" spans="1:13">
      <c r="A29" s="2"/>
      <c r="B29" s="20" t="s">
        <v>59</v>
      </c>
      <c r="C29" s="2"/>
      <c r="D29" s="18">
        <f>eps*COS(pi * Q * (Q*(k-1) + P..2) )</f>
        <v>1</v>
      </c>
      <c r="E29" s="9"/>
      <c r="F29" s="171" t="s">
        <v>475</v>
      </c>
      <c r="G29" s="41" t="s">
        <v>388</v>
      </c>
      <c r="H29" s="2"/>
      <c r="I29" s="2"/>
      <c r="M29" s="325"/>
    </row>
    <row r="30" spans="1:13">
      <c r="A30" s="2" t="s">
        <v>308</v>
      </c>
      <c r="B30" s="11" t="s">
        <v>308</v>
      </c>
      <c r="C30" s="2" t="s">
        <v>394</v>
      </c>
      <c r="D30" s="4">
        <f xml:space="preserve"> 2/(k * (1 + kappa)) * (P*epsp + Q*epsq) * (k - 1 + kappa)</f>
        <v>-2</v>
      </c>
      <c r="E30" s="9"/>
      <c r="F30" s="157" t="s">
        <v>391</v>
      </c>
      <c r="G30" s="41" t="s">
        <v>136</v>
      </c>
      <c r="H30" s="2"/>
      <c r="I30" s="2"/>
      <c r="M30" s="325"/>
    </row>
    <row r="31" spans="1:13">
      <c r="A31" s="2"/>
      <c r="B31" s="11" t="s">
        <v>66</v>
      </c>
      <c r="C31" s="2" t="s">
        <v>667</v>
      </c>
      <c r="D31" s="4">
        <f>P+1</f>
        <v>4</v>
      </c>
      <c r="E31" s="9"/>
      <c r="F31" s="157" t="s">
        <v>393</v>
      </c>
      <c r="G31" s="41" t="s">
        <v>137</v>
      </c>
      <c r="H31" s="2"/>
      <c r="I31" s="2"/>
      <c r="M31" s="325"/>
    </row>
    <row r="32" spans="1:13">
      <c r="A32" s="2"/>
      <c r="B32" s="11"/>
      <c r="C32" s="2"/>
      <c r="D32" s="2"/>
      <c r="E32" s="9"/>
      <c r="F32" s="157"/>
      <c r="G32" s="2"/>
      <c r="H32" s="2"/>
      <c r="I32" s="2"/>
      <c r="M32" s="325"/>
    </row>
    <row r="33" spans="1:13">
      <c r="A33" s="2"/>
      <c r="B33" s="11"/>
      <c r="C33" s="2"/>
      <c r="D33" s="2"/>
      <c r="E33" s="9"/>
      <c r="F33" s="157"/>
      <c r="G33" s="2"/>
      <c r="H33" s="2"/>
      <c r="I33" s="2"/>
      <c r="M33" s="325"/>
    </row>
    <row r="34" spans="1:13">
      <c r="A34" s="2"/>
      <c r="B34" s="11"/>
      <c r="C34" s="42" t="s">
        <v>168</v>
      </c>
      <c r="D34" s="21"/>
      <c r="E34" s="56"/>
      <c r="F34" s="159"/>
      <c r="G34" s="2"/>
      <c r="H34" s="2"/>
      <c r="I34" s="2"/>
      <c r="M34" s="325"/>
    </row>
    <row r="35" spans="1:13">
      <c r="A35" s="2" t="s">
        <v>61</v>
      </c>
      <c r="B35" s="11" t="s">
        <v>61</v>
      </c>
      <c r="C35" s="2" t="s">
        <v>63</v>
      </c>
      <c r="D35" s="4">
        <f>((P + 2 - 2*x) * (1 - kappa*Q*(2 - k)) + eps*(k - 1 - (1 + kappa)*Q*(2 - k)) + cs ) /2</f>
        <v>-2</v>
      </c>
      <c r="E35" s="9"/>
      <c r="F35" s="157" t="s">
        <v>395</v>
      </c>
      <c r="G35" s="41" t="s">
        <v>138</v>
      </c>
      <c r="H35" s="2"/>
      <c r="I35" s="2"/>
      <c r="M35" s="325"/>
    </row>
    <row r="36" spans="1:13">
      <c r="A36" s="2" t="s">
        <v>62</v>
      </c>
      <c r="B36" s="11" t="s">
        <v>62</v>
      </c>
      <c r="C36" s="2" t="s">
        <v>65</v>
      </c>
      <c r="D36" s="4">
        <f>ABS(qx)</f>
        <v>2</v>
      </c>
      <c r="E36" s="9"/>
      <c r="F36" s="157"/>
      <c r="G36" s="41" t="s">
        <v>138</v>
      </c>
      <c r="H36" s="2"/>
      <c r="I36" s="2"/>
      <c r="M36" s="325"/>
    </row>
    <row r="37" spans="1:13">
      <c r="A37" s="2"/>
      <c r="B37" s="11"/>
      <c r="C37" s="2"/>
      <c r="D37" s="2"/>
      <c r="E37" s="9"/>
      <c r="F37" s="25"/>
      <c r="G37" s="2"/>
      <c r="H37" s="2"/>
      <c r="I37" s="2"/>
      <c r="M37" s="325"/>
    </row>
    <row r="38" spans="1:13">
      <c r="A38" s="2"/>
      <c r="B38" s="11"/>
      <c r="C38" s="2"/>
      <c r="D38" s="2"/>
      <c r="E38" s="9"/>
      <c r="F38" s="25"/>
      <c r="G38" s="2"/>
      <c r="H38" s="2"/>
      <c r="I38" s="2"/>
      <c r="M38" s="325"/>
    </row>
    <row r="39" spans="1:13">
      <c r="A39" s="2"/>
      <c r="B39" s="11"/>
      <c r="C39" s="42" t="s">
        <v>159</v>
      </c>
      <c r="D39" s="21"/>
      <c r="E39" s="56"/>
      <c r="F39" s="158"/>
      <c r="G39" s="2"/>
      <c r="H39" s="2"/>
      <c r="I39" s="2"/>
      <c r="M39" s="325"/>
    </row>
    <row r="40" spans="1:13">
      <c r="A40" s="2"/>
      <c r="B40" s="11"/>
      <c r="C40" s="4"/>
      <c r="D40" s="2"/>
      <c r="E40" s="9"/>
      <c r="F40" s="25"/>
      <c r="G40" s="2"/>
      <c r="H40" s="2"/>
      <c r="I40" s="2"/>
      <c r="M40" s="325"/>
    </row>
    <row r="41" spans="1:13">
      <c r="A41" s="2"/>
      <c r="B41" s="11"/>
      <c r="C41" s="17" t="s">
        <v>476</v>
      </c>
      <c r="D41" s="2"/>
      <c r="E41" s="9"/>
      <c r="F41" s="25"/>
      <c r="G41" s="2"/>
      <c r="H41" s="2"/>
      <c r="I41" s="2"/>
      <c r="M41" s="325"/>
    </row>
    <row r="42" spans="1:13">
      <c r="A42" s="2"/>
      <c r="B42" s="11"/>
      <c r="C42" s="17" t="s">
        <v>133</v>
      </c>
      <c r="D42" s="2"/>
      <c r="E42" s="9"/>
      <c r="F42" s="25"/>
      <c r="G42" s="2"/>
      <c r="H42" s="2"/>
      <c r="I42" s="2"/>
      <c r="M42" s="325"/>
    </row>
    <row r="43" spans="1:13">
      <c r="A43" s="2"/>
      <c r="B43" s="182" t="s">
        <v>67</v>
      </c>
      <c r="C43" s="18" t="s">
        <v>15</v>
      </c>
      <c r="D43" s="18">
        <f xml:space="preserve"> k^2 + 1</f>
        <v>5</v>
      </c>
      <c r="E43" s="20"/>
      <c r="F43" s="25"/>
      <c r="G43" s="2"/>
      <c r="H43" s="213" t="s">
        <v>491</v>
      </c>
      <c r="I43" s="9" t="s">
        <v>477</v>
      </c>
      <c r="M43" s="325"/>
    </row>
    <row r="44" spans="1:13">
      <c r="A44" s="2" t="s">
        <v>97</v>
      </c>
      <c r="B44" s="2" t="s">
        <v>97</v>
      </c>
      <c r="C44" s="24" t="s">
        <v>134</v>
      </c>
      <c r="D44" s="24">
        <f xml:space="preserve"> (2*k-(-1)^k) * 2^(is - 2)</f>
        <v>24</v>
      </c>
      <c r="E44" s="9"/>
      <c r="F44" s="166" t="s">
        <v>423</v>
      </c>
      <c r="G44" s="157" t="s">
        <v>396</v>
      </c>
      <c r="H44" s="2">
        <f xml:space="preserve"> 3* 2^(is - 2)</f>
        <v>24</v>
      </c>
      <c r="I44" s="2">
        <f>(q.1-H44)/q.1*100</f>
        <v>0</v>
      </c>
      <c r="M44" s="325"/>
    </row>
    <row r="45" spans="1:13">
      <c r="A45" s="2" t="s">
        <v>98</v>
      </c>
      <c r="B45" s="2" t="s">
        <v>98</v>
      </c>
      <c r="C45" s="31" t="s">
        <v>135</v>
      </c>
      <c r="D45" s="31">
        <f xml:space="preserve"> 2^is - 1</f>
        <v>31</v>
      </c>
      <c r="E45" s="9"/>
      <c r="F45" s="157" t="s">
        <v>384</v>
      </c>
      <c r="G45" s="157" t="s">
        <v>139</v>
      </c>
      <c r="H45" s="2"/>
      <c r="I45" s="2"/>
      <c r="M45" s="325"/>
    </row>
    <row r="46" spans="1:13">
      <c r="A46" s="2" t="s">
        <v>99</v>
      </c>
      <c r="B46" s="2" t="s">
        <v>99</v>
      </c>
      <c r="C46" s="22" t="s">
        <v>176</v>
      </c>
      <c r="D46" s="22">
        <f xml:space="preserve"> 2^is + 2*(-1)^k</f>
        <v>34</v>
      </c>
      <c r="E46" s="9"/>
      <c r="F46" s="157" t="s">
        <v>383</v>
      </c>
      <c r="G46" s="157" t="s">
        <v>140</v>
      </c>
      <c r="H46" s="2"/>
      <c r="I46" s="2"/>
      <c r="M46" s="325"/>
    </row>
    <row r="47" spans="1:13">
      <c r="A47" s="2" t="s">
        <v>100</v>
      </c>
      <c r="B47" s="2" t="s">
        <v>100</v>
      </c>
      <c r="C47" s="23" t="s">
        <v>177</v>
      </c>
      <c r="D47" s="23">
        <f xml:space="preserve"> 2^(is - 1) - 1</f>
        <v>15</v>
      </c>
      <c r="E47" s="9"/>
      <c r="F47" s="157" t="s">
        <v>385</v>
      </c>
      <c r="G47" s="157" t="s">
        <v>141</v>
      </c>
      <c r="H47" s="2"/>
      <c r="I47" s="2"/>
      <c r="M47" s="325"/>
    </row>
    <row r="48" spans="1:13">
      <c r="A48" s="2" t="s">
        <v>373</v>
      </c>
      <c r="B48" s="11" t="s">
        <v>401</v>
      </c>
      <c r="C48" s="163" t="s">
        <v>374</v>
      </c>
      <c r="D48" s="163">
        <f>q.1+q.2+q.3+q.4</f>
        <v>104</v>
      </c>
      <c r="E48" s="9"/>
      <c r="F48" s="157" t="s">
        <v>375</v>
      </c>
      <c r="G48" s="157" t="s">
        <v>401</v>
      </c>
      <c r="H48" s="2"/>
      <c r="I48" s="2"/>
      <c r="M48" s="325"/>
    </row>
    <row r="49" spans="1:13">
      <c r="A49" s="2" t="s">
        <v>376</v>
      </c>
      <c r="B49" s="11" t="s">
        <v>401</v>
      </c>
      <c r="C49" s="163" t="s">
        <v>376</v>
      </c>
      <c r="D49" s="163">
        <f>3*H / (k*k*(2*k-1))</f>
        <v>26</v>
      </c>
      <c r="E49" s="9"/>
      <c r="F49" s="157" t="s">
        <v>377</v>
      </c>
      <c r="G49" s="157" t="s">
        <v>401</v>
      </c>
      <c r="H49" s="2"/>
      <c r="I49" s="2"/>
      <c r="M49" s="325"/>
    </row>
    <row r="50" spans="1:13">
      <c r="A50" s="2"/>
      <c r="B50" s="11"/>
      <c r="C50" s="2"/>
      <c r="D50" s="2"/>
      <c r="E50" s="9"/>
      <c r="F50" s="157"/>
      <c r="G50" s="11"/>
      <c r="H50" s="2"/>
      <c r="I50" s="2"/>
      <c r="M50" s="325"/>
    </row>
    <row r="51" spans="1:13">
      <c r="A51" s="2"/>
      <c r="B51" s="11"/>
      <c r="C51" s="17" t="s">
        <v>726</v>
      </c>
      <c r="D51" s="2"/>
      <c r="E51" s="9"/>
      <c r="F51" s="157"/>
      <c r="G51" s="11"/>
      <c r="H51" s="2"/>
      <c r="I51" s="2"/>
      <c r="M51" s="325"/>
    </row>
    <row r="52" spans="1:13">
      <c r="A52" s="2"/>
      <c r="B52" s="11"/>
      <c r="C52" s="17" t="s">
        <v>185</v>
      </c>
      <c r="D52" s="2"/>
      <c r="E52" s="9"/>
      <c r="F52" s="157"/>
      <c r="G52" s="11"/>
      <c r="H52" s="2"/>
      <c r="I52" s="2"/>
      <c r="M52" s="325"/>
    </row>
    <row r="53" spans="1:13">
      <c r="A53" s="2"/>
      <c r="B53" s="11"/>
      <c r="C53" s="40"/>
      <c r="D53" s="2"/>
      <c r="E53" s="9"/>
      <c r="F53" s="157"/>
      <c r="G53" s="11"/>
      <c r="H53" s="2"/>
      <c r="I53" s="2"/>
      <c r="M53" s="325"/>
    </row>
    <row r="54" spans="1:13">
      <c r="A54" s="2" t="s">
        <v>415</v>
      </c>
      <c r="B54" s="2" t="s">
        <v>415</v>
      </c>
      <c r="C54" s="18" t="s">
        <v>71</v>
      </c>
      <c r="D54" s="18">
        <f>pi / SQRT(SQRT( (4+k)*kq^4 + pi^4))</f>
        <v>0.84242384610209275</v>
      </c>
      <c r="E54" s="20"/>
      <c r="F54" s="157" t="s">
        <v>382</v>
      </c>
      <c r="G54" s="157" t="s">
        <v>142</v>
      </c>
      <c r="H54" s="2"/>
      <c r="I54" s="2"/>
      <c r="M54" s="325"/>
    </row>
    <row r="55" spans="1:13">
      <c r="A55" s="2" t="s">
        <v>416</v>
      </c>
      <c r="B55" s="182" t="s">
        <v>401</v>
      </c>
      <c r="C55" s="18" t="s">
        <v>420</v>
      </c>
      <c r="D55" s="18">
        <f>pi / SQRT(SQRT( (4+k) + pi^4))</f>
        <v>0.98516776357800506</v>
      </c>
      <c r="E55" s="20"/>
      <c r="F55" s="157" t="s">
        <v>382</v>
      </c>
      <c r="G55" s="157" t="s">
        <v>401</v>
      </c>
      <c r="H55" s="2"/>
      <c r="I55" s="2"/>
      <c r="M55" s="325"/>
    </row>
    <row r="56" spans="1:13">
      <c r="A56" s="2" t="s">
        <v>418</v>
      </c>
      <c r="B56" s="182" t="s">
        <v>401</v>
      </c>
      <c r="C56" s="18" t="s">
        <v>421</v>
      </c>
      <c r="D56" s="18">
        <f>pi / SQRT(SQRT( kq^4*5 + pi^4))</f>
        <v>0.86080722798926157</v>
      </c>
      <c r="E56" s="20"/>
      <c r="F56" s="157" t="s">
        <v>382</v>
      </c>
      <c r="G56" s="157" t="s">
        <v>401</v>
      </c>
      <c r="H56" s="2"/>
      <c r="I56" s="2"/>
    </row>
    <row r="57" spans="1:13">
      <c r="A57" s="2" t="s">
        <v>419</v>
      </c>
      <c r="B57" s="182" t="s">
        <v>401</v>
      </c>
      <c r="C57" s="18" t="s">
        <v>422</v>
      </c>
      <c r="D57" s="18">
        <f>5*etaq1 + 2*SQRT(etaq1) + 1</f>
        <v>7.1596300912074788</v>
      </c>
      <c r="E57" s="20"/>
      <c r="F57" s="157" t="s">
        <v>382</v>
      </c>
      <c r="G57" s="157" t="s">
        <v>401</v>
      </c>
      <c r="H57" s="2"/>
      <c r="I57" s="2"/>
    </row>
    <row r="58" spans="1:13">
      <c r="A58" s="2" t="s">
        <v>413</v>
      </c>
      <c r="B58" s="182" t="s">
        <v>401</v>
      </c>
      <c r="C58" s="163" t="s">
        <v>241</v>
      </c>
      <c r="D58" s="18">
        <f>2*pi*ebn</f>
        <v>17.079468445347132</v>
      </c>
      <c r="E58" s="20"/>
      <c r="F58" s="157" t="s">
        <v>414</v>
      </c>
      <c r="G58" s="157" t="s">
        <v>401</v>
      </c>
      <c r="H58" s="2"/>
      <c r="I58" s="2"/>
    </row>
    <row r="59" spans="1:13">
      <c r="A59" s="2" t="s">
        <v>435</v>
      </c>
      <c r="B59" s="2" t="s">
        <v>435</v>
      </c>
      <c r="C59" s="163" t="s">
        <v>438</v>
      </c>
      <c r="D59" s="18">
        <f>IF(P&lt;2,0,COMBIN(P,2))</f>
        <v>3</v>
      </c>
      <c r="E59" s="20"/>
      <c r="F59" s="157"/>
      <c r="G59" s="157"/>
      <c r="H59" s="2"/>
      <c r="I59" s="2"/>
    </row>
    <row r="60" spans="1:13">
      <c r="A60" s="2" t="s">
        <v>436</v>
      </c>
      <c r="B60" s="2" t="s">
        <v>436</v>
      </c>
      <c r="C60" s="163" t="s">
        <v>439</v>
      </c>
      <c r="D60" s="18">
        <f>IF(P&lt;3,0,COMBIN(P,3))</f>
        <v>1</v>
      </c>
      <c r="E60" s="20"/>
      <c r="F60" s="157"/>
      <c r="G60" s="157"/>
      <c r="H60" s="2"/>
      <c r="I60" s="2"/>
    </row>
    <row r="61" spans="1:13">
      <c r="A61" s="2" t="s">
        <v>437</v>
      </c>
      <c r="B61" s="2" t="s">
        <v>437</v>
      </c>
      <c r="C61" s="163" t="s">
        <v>440</v>
      </c>
      <c r="D61" s="18">
        <f>IF(Q&lt;3,0,COMBIN(Q,3))</f>
        <v>0</v>
      </c>
      <c r="E61" s="20"/>
      <c r="F61" s="157"/>
      <c r="G61" s="157"/>
      <c r="H61" s="2"/>
      <c r="I61" s="2"/>
    </row>
    <row r="62" spans="1:13">
      <c r="A62" s="2"/>
      <c r="B62" s="2"/>
      <c r="C62" s="163"/>
      <c r="D62" s="18"/>
      <c r="E62" s="20"/>
      <c r="F62" s="157"/>
      <c r="G62" s="157"/>
      <c r="H62" s="2"/>
      <c r="I62" s="2"/>
    </row>
    <row r="63" spans="1:13">
      <c r="A63" s="2"/>
      <c r="B63" s="2"/>
      <c r="C63" s="17" t="s">
        <v>683</v>
      </c>
      <c r="D63" s="18"/>
      <c r="E63" s="20"/>
      <c r="F63" s="157"/>
      <c r="G63" s="157"/>
      <c r="H63" s="2"/>
      <c r="I63" s="2"/>
    </row>
    <row r="64" spans="1:13">
      <c r="A64" s="2" t="s">
        <v>68</v>
      </c>
      <c r="B64" s="2" t="s">
        <v>68</v>
      </c>
      <c r="C64" s="24" t="s">
        <v>671</v>
      </c>
      <c r="D64" s="24">
        <f xml:space="preserve"> (1 + SQRT(etaqk)) / 2</f>
        <v>0.95891825146263598</v>
      </c>
      <c r="E64" s="9"/>
      <c r="F64" s="157" t="s">
        <v>397</v>
      </c>
      <c r="G64" s="157" t="s">
        <v>146</v>
      </c>
      <c r="H64" s="2"/>
      <c r="I64" s="2"/>
    </row>
    <row r="65" spans="1:9">
      <c r="A65" s="2" t="s">
        <v>519</v>
      </c>
      <c r="B65" s="11"/>
      <c r="C65" s="24" t="s">
        <v>670</v>
      </c>
      <c r="D65" s="24">
        <f>_alf1</f>
        <v>0.95891825146263598</v>
      </c>
      <c r="E65" s="9"/>
      <c r="F65" s="157" t="s">
        <v>381</v>
      </c>
      <c r="G65" s="157" t="s">
        <v>143</v>
      </c>
      <c r="H65" s="2"/>
      <c r="I65" s="2"/>
    </row>
    <row r="66" spans="1:9">
      <c r="A66" s="2" t="s">
        <v>69</v>
      </c>
      <c r="B66" s="2" t="s">
        <v>69</v>
      </c>
      <c r="C66" s="31" t="s">
        <v>672</v>
      </c>
      <c r="D66" s="31">
        <f>1/etaqk</f>
        <v>1.1870509181654987</v>
      </c>
      <c r="E66" s="9"/>
      <c r="F66" s="157" t="s">
        <v>398</v>
      </c>
      <c r="G66" s="157" t="s">
        <v>147</v>
      </c>
      <c r="H66" s="2"/>
      <c r="I66" s="2"/>
    </row>
    <row r="67" spans="1:9">
      <c r="A67" s="2" t="s">
        <v>520</v>
      </c>
      <c r="B67" s="11"/>
      <c r="C67" s="31" t="s">
        <v>669</v>
      </c>
      <c r="D67" s="31">
        <f xml:space="preserve"> 2/3*_alf2</f>
        <v>0.79136727877699908</v>
      </c>
      <c r="E67" s="9"/>
      <c r="F67" s="157" t="s">
        <v>381</v>
      </c>
      <c r="G67" s="157" t="s">
        <v>144</v>
      </c>
      <c r="H67" s="213" t="s">
        <v>491</v>
      </c>
      <c r="I67" s="9" t="s">
        <v>477</v>
      </c>
    </row>
    <row r="68" spans="1:9">
      <c r="A68" s="2" t="s">
        <v>70</v>
      </c>
      <c r="B68" s="2" t="s">
        <v>481</v>
      </c>
      <c r="C68" s="22" t="s">
        <v>668</v>
      </c>
      <c r="D68" s="22">
        <f>1/k*ebn^((k-1)* (1-pi*(1-etaqk)/(1+SQRT(etaq1))* (1 -u*etaq1/ thetaq1*(1-alfmn/alfpn)*(1-SQRT(eta))^2))-4/(3*u)*(1-SQRT(eta))^2*(2*3/4*u^2/theta*(1+SQRT(etaq1))/(1-eta)-1)*kq + IF(kq=2,OffsetN3,0))</f>
        <v>1.0083878557206367</v>
      </c>
      <c r="E68" s="9" t="s">
        <v>489</v>
      </c>
      <c r="F68" s="171" t="s">
        <v>461</v>
      </c>
      <c r="G68" s="157" t="s">
        <v>148</v>
      </c>
      <c r="H68" s="2">
        <f>EXP(k-1)/k - kq*(alfa/3*(1+SQRT(etaqk))*(xi/(etaqk^2 ))^(2*k+1)*etaqk^3 + _eta11/(ebn*etaqk)*(2*xi*etaqk)^k*((1-SQRT(etaqk)) / (1+SQRT(etaqk)) )^2)</f>
        <v>1.0037312440599349</v>
      </c>
      <c r="I68" s="2">
        <f>(_alf3-H68)/_alf3*100</f>
        <v>0.46178775699098906</v>
      </c>
    </row>
    <row r="69" spans="1:9">
      <c r="A69" s="2" t="s">
        <v>521</v>
      </c>
      <c r="B69" s="11"/>
      <c r="C69" s="22" t="s">
        <v>586</v>
      </c>
      <c r="D69" s="22">
        <f>2*_alf3</f>
        <v>2.0167757114412734</v>
      </c>
      <c r="E69" s="9"/>
      <c r="F69" s="157" t="s">
        <v>381</v>
      </c>
      <c r="G69" s="157" t="s">
        <v>145</v>
      </c>
      <c r="H69" s="2">
        <f>2*alf3o</f>
        <v>2.0074624881198697</v>
      </c>
      <c r="I69" s="2">
        <f>(D69-H69)/D69*100</f>
        <v>0.46178775699098906</v>
      </c>
    </row>
    <row r="70" spans="1:9">
      <c r="A70" s="2"/>
      <c r="B70" s="11"/>
      <c r="C70" s="2"/>
      <c r="D70" s="2"/>
      <c r="E70" s="9"/>
      <c r="F70" s="157"/>
      <c r="G70" s="157"/>
      <c r="H70" s="2"/>
      <c r="I70" s="2"/>
    </row>
    <row r="71" spans="1:9">
      <c r="A71" s="2" t="s">
        <v>532</v>
      </c>
      <c r="B71" s="11"/>
      <c r="C71" s="2" t="s">
        <v>402</v>
      </c>
      <c r="D71" s="2">
        <f>4*(1+kq*(k-1)) / k</f>
        <v>6</v>
      </c>
      <c r="E71" s="9"/>
      <c r="F71" s="157" t="s">
        <v>399</v>
      </c>
      <c r="G71" s="157" t="s">
        <v>401</v>
      </c>
      <c r="H71" s="2"/>
      <c r="I71" s="2"/>
    </row>
    <row r="72" spans="1:9">
      <c r="A72" s="2" t="s">
        <v>408</v>
      </c>
      <c r="B72" s="11"/>
      <c r="C72" s="163" t="s">
        <v>406</v>
      </c>
      <c r="D72" s="163">
        <f>q.1+q.2+q.3+q.4 + k*(-1)^k*2^(k*k-1)</f>
        <v>120</v>
      </c>
      <c r="E72" s="9"/>
      <c r="F72" s="157" t="s">
        <v>404</v>
      </c>
      <c r="G72" s="157" t="s">
        <v>401</v>
      </c>
      <c r="H72" s="2"/>
      <c r="I72" s="2"/>
    </row>
    <row r="73" spans="1:9">
      <c r="A73" s="2" t="s">
        <v>409</v>
      </c>
      <c r="B73" s="11"/>
      <c r="C73" s="163" t="s">
        <v>673</v>
      </c>
      <c r="D73" s="163">
        <f>q.1+q.2+q.3+q.4 -2*k -1</f>
        <v>99</v>
      </c>
      <c r="E73" s="9"/>
      <c r="F73" s="157" t="s">
        <v>407</v>
      </c>
      <c r="G73" s="157" t="s">
        <v>401</v>
      </c>
      <c r="H73" s="2"/>
      <c r="I73" s="2"/>
    </row>
    <row r="74" spans="1:9">
      <c r="A74" s="2" t="s">
        <v>411</v>
      </c>
      <c r="B74" s="11"/>
      <c r="C74" s="163" t="s">
        <v>462</v>
      </c>
      <c r="D74" s="163">
        <f>8*(1-alfmn/alfpn)*(1-3/4*eta) / eta</f>
        <v>1.1577337563356573</v>
      </c>
      <c r="E74" s="9"/>
      <c r="F74" s="157" t="s">
        <v>412</v>
      </c>
      <c r="G74" s="157" t="s">
        <v>401</v>
      </c>
      <c r="H74" s="2"/>
      <c r="I74" s="2"/>
    </row>
    <row r="75" spans="1:9">
      <c r="A75" s="2" t="s">
        <v>524</v>
      </c>
      <c r="B75" s="11"/>
      <c r="C75" s="2" t="s">
        <v>403</v>
      </c>
      <c r="D75" s="2">
        <f>A.n* (1 + k*(k-1)*2^(k*k+3)*Nk *A.n*((1-SQRT(etaqk))/(1+SQRT(etaqk)))^2)</f>
        <v>76.7318842727624</v>
      </c>
      <c r="E75" s="9"/>
      <c r="F75" s="157" t="s">
        <v>400</v>
      </c>
      <c r="G75" s="157" t="s">
        <v>401</v>
      </c>
      <c r="H75" s="2"/>
      <c r="I75" s="2"/>
    </row>
    <row r="76" spans="1:9">
      <c r="A76" s="2" t="s">
        <v>525</v>
      </c>
      <c r="B76" s="11"/>
      <c r="C76" s="2" t="s">
        <v>405</v>
      </c>
      <c r="D76" s="2">
        <f>4*k/(u*theta) * (SQRT(k)*(k^2-1)*Nk/SQRT(eta1k) * (kq-(1-kq)*N.k/(q.4*SQRT(eta1k))) + (-1)^(k+1))*eta*(1-alfmn/alfpn)*(4*(1-SQRT(eta))/(1+SQRT(eta)))^2*q.4</f>
        <v>0.21882624552774119</v>
      </c>
      <c r="E76" s="9"/>
      <c r="F76" s="157" t="s">
        <v>417</v>
      </c>
      <c r="G76" s="157" t="s">
        <v>401</v>
      </c>
      <c r="H76" s="2"/>
      <c r="I76" s="2"/>
    </row>
    <row r="77" spans="1:9">
      <c r="A77" s="2"/>
      <c r="B77" s="11"/>
      <c r="C77" s="2"/>
      <c r="D77" s="2"/>
      <c r="E77" s="9"/>
      <c r="F77" s="157"/>
      <c r="G77" s="157"/>
      <c r="H77" s="2"/>
      <c r="I77" s="2"/>
    </row>
    <row r="78" spans="1:9">
      <c r="A78" s="2"/>
      <c r="B78" s="11"/>
      <c r="C78" s="168" t="s">
        <v>449</v>
      </c>
      <c r="D78" s="163">
        <f>1+B+ k*(Q^2+1)*Q..3</f>
        <v>27</v>
      </c>
      <c r="E78" s="9"/>
      <c r="F78" s="38"/>
      <c r="G78" s="2"/>
      <c r="H78" s="2"/>
      <c r="I78" s="2"/>
    </row>
    <row r="79" spans="1:9">
      <c r="A79" s="2"/>
      <c r="B79" s="11"/>
      <c r="C79" s="168" t="s">
        <v>450</v>
      </c>
      <c r="D79" s="163">
        <f>-kappa*((B-1)*(2-k)-3*(H-2*(1+kq))*(P-Q)+1)</f>
        <v>0</v>
      </c>
      <c r="E79" s="9"/>
      <c r="F79" s="38"/>
      <c r="G79" s="2"/>
      <c r="H79" s="2"/>
      <c r="I79" s="2"/>
    </row>
    <row r="80" spans="1:9">
      <c r="A80" s="2"/>
      <c r="B80" s="11"/>
      <c r="C80" s="168" t="s">
        <v>451</v>
      </c>
      <c r="D80" s="163">
        <f>-(1-kappa)*((3*(2-kq)*P..2-Q*(3*(P+Q)+kq))*(2-k)+(k*(P+1)*P..2+(1+B/k*(k+P-Q))*(1-P..2)*(1-Q..3)-kq*(1-kq)*Q..3)*(k-1))</f>
        <v>82</v>
      </c>
      <c r="E80" s="9"/>
      <c r="F80" s="38"/>
      <c r="G80" s="2"/>
      <c r="H80" s="2"/>
      <c r="I80" s="2"/>
    </row>
    <row r="81" spans="1:9">
      <c r="A81" s="2" t="s">
        <v>432</v>
      </c>
      <c r="B81" s="11"/>
      <c r="C81" s="169" t="s">
        <v>429</v>
      </c>
      <c r="D81" s="17">
        <f>a1.10 + a1.11 + a1.12</f>
        <v>109</v>
      </c>
      <c r="E81" s="9"/>
      <c r="F81" s="157" t="s">
        <v>452</v>
      </c>
      <c r="G81" s="11"/>
      <c r="H81" s="2"/>
      <c r="I81" s="2"/>
    </row>
    <row r="82" spans="1:9">
      <c r="A82" s="2"/>
      <c r="B82" s="11"/>
      <c r="C82" s="163"/>
      <c r="D82" s="163"/>
      <c r="E82" s="9"/>
      <c r="F82" s="157"/>
      <c r="G82" s="11"/>
      <c r="H82" s="2"/>
      <c r="I82" s="2"/>
    </row>
    <row r="83" spans="1:9">
      <c r="A83" s="2"/>
      <c r="B83" s="11"/>
      <c r="C83" s="168" t="s">
        <v>453</v>
      </c>
      <c r="D83" s="163">
        <f>B*(1-Q..3*(1-P..3))+6/k</f>
        <v>29</v>
      </c>
      <c r="E83" s="9"/>
      <c r="F83" s="157"/>
      <c r="G83" s="11"/>
      <c r="H83" s="2"/>
      <c r="I83" s="2"/>
    </row>
    <row r="84" spans="1:9">
      <c r="A84" s="2"/>
      <c r="B84" s="11"/>
      <c r="C84" s="168" t="s">
        <v>455</v>
      </c>
      <c r="D84" s="163">
        <f>-kappa*(Q/2*(B-7*k)-(3*kq-1)*(k-1)+1/2*(P-Q)*(4+(B+1)*(1-kq)))</f>
        <v>0</v>
      </c>
      <c r="E84" s="9"/>
      <c r="F84" s="157"/>
      <c r="G84" s="11"/>
      <c r="H84" s="2"/>
      <c r="I84" s="2"/>
    </row>
    <row r="85" spans="1:9">
      <c r="A85" s="2"/>
      <c r="B85" s="11"/>
      <c r="C85" s="168" t="s">
        <v>457</v>
      </c>
      <c r="D85" s="163">
        <f>(P*(B/2+2+kq)-Q*(B/2 +1 -4*(1+4*kq)))*(2-k)</f>
        <v>0</v>
      </c>
      <c r="E85" s="9"/>
      <c r="F85" s="157"/>
      <c r="G85" s="11"/>
      <c r="H85" s="2"/>
      <c r="I85" s="2"/>
    </row>
    <row r="86" spans="1:9">
      <c r="A86" s="2"/>
      <c r="B86" s="11"/>
      <c r="C86" s="168" t="s">
        <v>459</v>
      </c>
      <c r="D86" s="163">
        <f>(1/4*(B-2)*(1+3/2*(P-Q))-B/2*(1-kq)-P..2*((1/2*(B+kq-eps*qx)+3*eps*qx)*(2-eps*qx)-1/4*(B+2)*(1-kq)))*(1-Q..3)*(k-1)</f>
        <v>-92</v>
      </c>
      <c r="E86" s="9"/>
      <c r="F86" s="157"/>
      <c r="G86" s="11"/>
      <c r="H86" s="2"/>
      <c r="I86" s="2"/>
    </row>
    <row r="87" spans="1:9">
      <c r="A87" s="2"/>
      <c r="B87" s="11"/>
      <c r="C87" s="168" t="s">
        <v>458</v>
      </c>
      <c r="D87" s="163">
        <f>-P..3*(2*(1+eps*qx)+1/2*(2-kq)*(((1-kq)+eps*qx)-kq)-kq/4*(1-kq)*(B-4)-1/4*(B-2)+B/2*(1-kq))</f>
        <v>10</v>
      </c>
      <c r="E87" s="9"/>
      <c r="F87" s="170" t="s">
        <v>460</v>
      </c>
      <c r="G87" s="11"/>
      <c r="H87" s="2"/>
      <c r="I87" s="2"/>
    </row>
    <row r="88" spans="1:9">
      <c r="A88" s="2"/>
      <c r="B88" s="11"/>
      <c r="C88" s="168" t="s">
        <v>456</v>
      </c>
      <c r="D88" s="163">
        <f>-(1-kappa)*(a2.221 + a2.222 + a2.223)</f>
        <v>82</v>
      </c>
      <c r="E88" s="9"/>
      <c r="F88" s="157"/>
      <c r="G88" s="11"/>
      <c r="H88" s="2"/>
      <c r="I88" s="2"/>
    </row>
    <row r="89" spans="1:9">
      <c r="A89" s="2" t="s">
        <v>433</v>
      </c>
      <c r="B89" s="11"/>
      <c r="C89" s="169" t="s">
        <v>430</v>
      </c>
      <c r="D89" s="17">
        <f>a2.20 + a2.21 + a2.22</f>
        <v>111</v>
      </c>
      <c r="E89" s="9"/>
      <c r="F89" s="157" t="s">
        <v>454</v>
      </c>
      <c r="G89" s="11"/>
      <c r="H89" s="2"/>
      <c r="I89" s="2"/>
    </row>
    <row r="90" spans="1:9">
      <c r="A90" s="2"/>
      <c r="B90" s="11"/>
      <c r="C90" s="163"/>
      <c r="D90" s="163"/>
      <c r="E90" s="9"/>
      <c r="F90" s="157"/>
      <c r="G90" s="11"/>
      <c r="H90" s="2"/>
      <c r="I90" s="2"/>
    </row>
    <row r="91" spans="1:9">
      <c r="A91" s="2"/>
      <c r="B91" s="11"/>
      <c r="C91" s="168" t="s">
        <v>447</v>
      </c>
      <c r="D91" s="163">
        <f>kappa*(SQRT(eta)/k*(4*(2-SQRT(eta))-pi*ebn*(1-eta)*SQRT(eta))* (k+ebn*SQRT(eta)*(k-1))+ 5*(1-kq)/(2*k+(-1)^k)*(4*B+P+Q))</f>
        <v>0</v>
      </c>
      <c r="E91" s="9"/>
      <c r="F91" s="157"/>
      <c r="G91" s="157"/>
      <c r="H91" s="2"/>
      <c r="I91" s="2"/>
    </row>
    <row r="92" spans="1:9" ht="12.75" customHeight="1">
      <c r="A92" s="2"/>
      <c r="B92" s="11"/>
      <c r="C92" s="168" t="s">
        <v>442</v>
      </c>
      <c r="D92" s="167">
        <f>(P-1)*(P-2)*(2/k^2*(H+2)+(2-k)/(2*pi))</f>
        <v>106</v>
      </c>
      <c r="E92" s="9"/>
      <c r="F92" s="157"/>
      <c r="G92" s="157"/>
      <c r="H92" s="2"/>
      <c r="I92" s="2"/>
    </row>
    <row r="93" spans="1:9">
      <c r="A93" s="2"/>
      <c r="B93" s="11"/>
      <c r="C93" s="168" t="s">
        <v>441</v>
      </c>
      <c r="D93" s="163">
        <f>P..2*(1-Q..3)*(kq*B/2*(B+2*(P-Q))+(P*(P+2)*B+(P+1)^2-kq*(1+eps*qx)*(k*(P^2+1)*(B+2)+1/4*(P^2+P+1))-kq*(1-eps*qx)*(B+P^2+1))*(k-1))</f>
        <v>6289.5</v>
      </c>
      <c r="E93" s="9"/>
      <c r="F93" s="157"/>
      <c r="G93" s="157"/>
      <c r="H93" s="2"/>
      <c r="I93" s="2"/>
    </row>
    <row r="94" spans="1:9">
      <c r="A94" s="2"/>
      <c r="B94" s="11"/>
      <c r="C94" s="168" t="s">
        <v>444</v>
      </c>
      <c r="D94" s="163">
        <f>((P-Q)*(H+2)+P*(5*B*(1+kq)*Q+k*(k-1)*(k*(P+Q)^2*(H+3*k+1)*(1-kq)-1/2*(B+6*k))))*(1-P..2)*(1-Q..3)</f>
        <v>40088</v>
      </c>
      <c r="E94" s="9"/>
      <c r="F94" s="170" t="s">
        <v>460</v>
      </c>
      <c r="G94" s="157"/>
      <c r="H94" s="2"/>
      <c r="I94" s="2"/>
    </row>
    <row r="95" spans="1:9">
      <c r="A95" s="2"/>
      <c r="B95" s="11"/>
      <c r="C95" s="168" t="s">
        <v>443</v>
      </c>
      <c r="D95" s="163">
        <f>P..3*(2-kq)*Q*(eps*qx*(B+2*Q+1)+kq/(2*k)*(1-eps*qx)*(2*k+1)+(1-kq)*(Q^2+1+2*B))</f>
        <v>0</v>
      </c>
      <c r="E95" s="9"/>
      <c r="F95" s="157"/>
      <c r="G95" s="157"/>
      <c r="H95" s="2"/>
      <c r="I95" s="2"/>
    </row>
    <row r="96" spans="1:9">
      <c r="A96" s="2"/>
      <c r="B96" s="11"/>
      <c r="C96" s="168" t="s">
        <v>472</v>
      </c>
      <c r="D96" s="163">
        <f>(1-kappa)*(y.20 + y.21 + y.22 + y.23)</f>
        <v>46483.5</v>
      </c>
      <c r="E96" s="9"/>
      <c r="F96" s="157"/>
      <c r="G96" s="157"/>
      <c r="H96" s="2"/>
      <c r="I96" s="2"/>
    </row>
    <row r="97" spans="1:9">
      <c r="A97" s="2" t="s">
        <v>566</v>
      </c>
      <c r="B97" s="11"/>
      <c r="C97" s="168" t="s">
        <v>445</v>
      </c>
      <c r="D97" s="163">
        <f>1/(2*B)*(y.1 + y.2)</f>
        <v>893.91346153846155</v>
      </c>
      <c r="E97" s="9"/>
      <c r="F97" s="157" t="s">
        <v>448</v>
      </c>
      <c r="G97" s="11"/>
      <c r="H97" s="2"/>
      <c r="I97" s="2"/>
    </row>
    <row r="98" spans="1:9">
      <c r="A98" s="2" t="s">
        <v>434</v>
      </c>
      <c r="B98" s="11"/>
      <c r="C98" s="169" t="s">
        <v>446</v>
      </c>
      <c r="D98" s="17">
        <f>4*B*y/(1+y) - 1/(B+4)</f>
        <v>103.85045431265736</v>
      </c>
      <c r="E98" s="9"/>
      <c r="F98" s="157" t="s">
        <v>431</v>
      </c>
      <c r="G98" s="11"/>
      <c r="H98" s="2"/>
      <c r="I98" s="2"/>
    </row>
    <row r="99" spans="1:9">
      <c r="A99" s="2"/>
      <c r="B99" s="11"/>
      <c r="C99" s="169"/>
      <c r="D99" s="17"/>
      <c r="E99" s="9"/>
      <c r="F99" s="157"/>
      <c r="G99" s="11"/>
      <c r="H99" s="2"/>
      <c r="I99" s="2"/>
    </row>
    <row r="100" spans="1:9">
      <c r="A100" s="2" t="s">
        <v>379</v>
      </c>
      <c r="B100" s="11"/>
      <c r="C100" s="163" t="s">
        <v>379</v>
      </c>
      <c r="D100" s="163">
        <f>8*g*H / (2-k+8*H*(k-1))</f>
        <v>14727.578670524976</v>
      </c>
      <c r="E100" s="9"/>
      <c r="F100" s="157" t="s">
        <v>380</v>
      </c>
      <c r="G100" s="11"/>
      <c r="H100" s="2"/>
      <c r="I100" s="2"/>
    </row>
    <row r="101" spans="1:9">
      <c r="A101" s="2" t="s">
        <v>425</v>
      </c>
      <c r="B101" s="11"/>
      <c r="C101" s="163" t="s">
        <v>425</v>
      </c>
      <c r="D101" s="163">
        <f>(1-kappa)*Q*(2-k)</f>
        <v>0</v>
      </c>
      <c r="E101" s="9"/>
      <c r="F101" s="157" t="s">
        <v>378</v>
      </c>
      <c r="G101" s="11"/>
      <c r="H101" s="2" t="s">
        <v>494</v>
      </c>
      <c r="I101" s="2"/>
    </row>
    <row r="102" spans="1:9">
      <c r="A102" s="2" t="s">
        <v>474</v>
      </c>
      <c r="B102" s="11"/>
      <c r="C102" s="163" t="s">
        <v>12</v>
      </c>
      <c r="D102" s="163">
        <f>(1 -Q -P..2)*(2-k)+1/(4*B)*(a..1+k^3/(4*H)*(a..2+a..3/(4*B)))</f>
        <v>1.0687867163573777</v>
      </c>
      <c r="E102" s="9"/>
      <c r="F102" s="157" t="s">
        <v>428</v>
      </c>
      <c r="G102" s="11"/>
      <c r="H102" s="213" t="s">
        <v>491</v>
      </c>
      <c r="I102" s="9" t="s">
        <v>477</v>
      </c>
    </row>
    <row r="103" spans="1:9">
      <c r="A103" s="2" t="s">
        <v>410</v>
      </c>
      <c r="B103" s="11"/>
      <c r="C103" s="2" t="s">
        <v>478</v>
      </c>
      <c r="D103" s="4">
        <f>q.1^3 + q.2^2 + q.3/k*EXP(k-1) + ebn^(-(2*k-1) /3) - H*(k-1)</f>
        <v>14727.578670524976</v>
      </c>
      <c r="E103" s="9"/>
      <c r="F103" s="166" t="s">
        <v>424</v>
      </c>
      <c r="G103" s="157" t="s">
        <v>149</v>
      </c>
      <c r="H103" s="4">
        <f>q.1^3*_alf1 + q.2^2*_alf2 + q.3*alf3o + EXP( (1-2*k)/3 )</f>
        <v>14431.336582315733</v>
      </c>
      <c r="I103" s="2">
        <f>(g-gkq)/g*100</f>
        <v>2.0114785657341394</v>
      </c>
    </row>
    <row r="104" spans="1:9">
      <c r="A104" s="2" t="s">
        <v>426</v>
      </c>
      <c r="B104" s="11" t="s">
        <v>75</v>
      </c>
      <c r="C104" s="2" t="s">
        <v>480</v>
      </c>
      <c r="D104" s="4">
        <f>A*ebn^(x..)*(1-eta)^L + (P-Q)*(1- P..2)*(1-Q..3) * (1-SQRT(eta))^2*SQRT(2)</f>
        <v>42884.418257622863</v>
      </c>
      <c r="E104" s="9"/>
      <c r="F104" s="157" t="s">
        <v>427</v>
      </c>
      <c r="G104" s="157" t="s">
        <v>153</v>
      </c>
      <c r="H104" s="4">
        <f>wgx</f>
        <v>21492.248434880345</v>
      </c>
      <c r="I104" s="2">
        <f>(WN.0-wgx)/WN.0*100</f>
        <v>49.883315879981609</v>
      </c>
    </row>
    <row r="105" spans="1:9">
      <c r="A105" s="2"/>
      <c r="B105" s="11"/>
      <c r="C105" s="2"/>
      <c r="D105" s="2"/>
      <c r="E105" s="9"/>
      <c r="F105" s="166"/>
      <c r="G105" s="157"/>
      <c r="H105" s="2"/>
      <c r="I105" s="2"/>
    </row>
    <row r="106" spans="1:9">
      <c r="A106" s="2"/>
      <c r="B106" s="192"/>
      <c r="C106" s="193" t="s">
        <v>491</v>
      </c>
      <c r="D106" s="194"/>
      <c r="E106" s="195"/>
      <c r="F106" s="196"/>
      <c r="G106" s="197"/>
      <c r="H106" s="2"/>
      <c r="I106" s="2"/>
    </row>
    <row r="107" spans="1:9">
      <c r="A107" s="2"/>
      <c r="B107" s="183"/>
      <c r="C107" s="184" t="s">
        <v>73</v>
      </c>
      <c r="D107" s="185">
        <f>(1-Q)*(a.11 - P*(a.12+kappa*kq/etaqk*a.13)-P..2*(a.14 - kq/etaqk*a.15)) + kappa*Q*etaqk*a.16</f>
        <v>0</v>
      </c>
      <c r="E107" s="186"/>
      <c r="F107" s="187"/>
      <c r="G107" s="187" t="s">
        <v>150</v>
      </c>
      <c r="H107" s="2"/>
      <c r="I107" s="2"/>
    </row>
    <row r="108" spans="1:9">
      <c r="A108" s="2"/>
      <c r="B108" s="183"/>
      <c r="C108" s="184" t="s">
        <v>74</v>
      </c>
      <c r="D108" s="185">
        <f>(kq-1)*a.21 + (1-P)*a.22 + P..2*(a.23-qx*etaqk/(1+a.24*(1+qx))*a.25)+ kappa*(a.26+kq*etaqk^2*a.31) + Q..3*etaqk*a.32 + P..3*(kq^3*a.33/(3-kq)*(qx-(-1)^kq) + ebn*(P-Q)*eta^((kq-1)*kq/4)/(8-a.66*kq*(kq-1)) * (1-kq/etaqk*(2-kq)*a.34^(1-qx)*a.35)*etaqk/eta^2-a.36)</f>
        <v>0.48927636136053443</v>
      </c>
      <c r="E108" s="186"/>
      <c r="F108" s="187"/>
      <c r="G108" s="187" t="s">
        <v>151</v>
      </c>
      <c r="H108" s="2"/>
      <c r="I108" s="2"/>
    </row>
    <row r="109" spans="1:9">
      <c r="A109" s="163"/>
      <c r="B109" s="188" t="s">
        <v>72</v>
      </c>
      <c r="C109" s="189" t="s">
        <v>186</v>
      </c>
      <c r="D109" s="188">
        <f>IF(k = 1,_wx1 + 1,1 +  _wx2)</f>
        <v>1.4892763613605344</v>
      </c>
      <c r="E109" s="190"/>
      <c r="F109" s="187"/>
      <c r="G109" s="187" t="s">
        <v>152</v>
      </c>
      <c r="H109" s="2"/>
      <c r="I109" s="2"/>
    </row>
    <row r="110" spans="1:9">
      <c r="A110" s="2"/>
      <c r="B110" s="191" t="s">
        <v>75</v>
      </c>
      <c r="C110" s="6" t="s">
        <v>479</v>
      </c>
      <c r="D110" s="6">
        <f xml:space="preserve"> gkq*wgxk</f>
        <v>21492.248434880345</v>
      </c>
      <c r="E110" s="190"/>
      <c r="F110" s="187"/>
      <c r="G110" s="187" t="s">
        <v>153</v>
      </c>
      <c r="H110" s="2"/>
      <c r="I110" s="2"/>
    </row>
    <row r="111" spans="1:9">
      <c r="A111" s="2"/>
      <c r="B111" s="11"/>
      <c r="C111" s="2"/>
      <c r="D111" s="2"/>
      <c r="E111" s="9"/>
      <c r="F111" s="157"/>
      <c r="G111" s="157"/>
      <c r="H111" s="2"/>
      <c r="I111" s="2"/>
    </row>
    <row r="112" spans="1:9">
      <c r="A112" s="2"/>
      <c r="B112" s="11"/>
      <c r="C112" s="2"/>
      <c r="D112" s="2"/>
      <c r="E112" s="9"/>
      <c r="F112" s="166"/>
      <c r="G112" s="157"/>
      <c r="H112" s="2"/>
      <c r="I112" s="2"/>
    </row>
    <row r="113" spans="1:10">
      <c r="A113" s="2"/>
      <c r="B113" s="2"/>
      <c r="C113" s="42" t="s">
        <v>674</v>
      </c>
      <c r="D113" s="21"/>
      <c r="E113" s="56"/>
      <c r="F113" s="199"/>
      <c r="G113" s="2"/>
      <c r="H113" s="2"/>
      <c r="I113" s="2"/>
    </row>
    <row r="114" spans="1:10">
      <c r="A114" s="2"/>
      <c r="B114" s="11"/>
      <c r="C114" s="4"/>
      <c r="D114" s="2"/>
      <c r="E114" s="9"/>
      <c r="F114" s="157"/>
      <c r="G114" s="11"/>
      <c r="H114" s="2"/>
      <c r="I114" s="2"/>
    </row>
    <row r="115" spans="1:10">
      <c r="A115" s="2"/>
      <c r="B115" s="214" t="s">
        <v>76</v>
      </c>
      <c r="C115" s="163" t="s">
        <v>542</v>
      </c>
      <c r="D115" s="163">
        <f>P*a.42*(1-kappa*a.43*(1+a.44*(-alfa)^(2-k)*a.45^(k-1))*(1-kappa*Q*a.46*(2-k)) - a.51*(k-1)*(1-kappa))</f>
        <v>-0.35124086494672185</v>
      </c>
      <c r="E115" s="20"/>
      <c r="F115" s="157"/>
      <c r="G115" s="157" t="s">
        <v>154</v>
      </c>
      <c r="H115" s="2"/>
      <c r="I115" s="2"/>
    </row>
    <row r="116" spans="1:10">
      <c r="A116" s="2"/>
      <c r="B116" s="214" t="s">
        <v>77</v>
      </c>
      <c r="C116" s="163" t="s">
        <v>543</v>
      </c>
      <c r="D116" s="163">
        <f>1 - kq*a.52*(1 - 2*kappa*a.53^k)*(1 + qx/6*(3-qx)*(k-1)*(1-kappa))</f>
        <v>1.0595653936141018</v>
      </c>
      <c r="E116" s="20"/>
      <c r="F116" s="157"/>
      <c r="G116" s="157" t="s">
        <v>155</v>
      </c>
      <c r="H116" s="2"/>
      <c r="I116" s="2"/>
    </row>
    <row r="117" spans="1:10">
      <c r="A117" s="2" t="s">
        <v>486</v>
      </c>
      <c r="B117" s="11"/>
      <c r="C117" s="168" t="s">
        <v>482</v>
      </c>
      <c r="D117" s="163">
        <f>pi*(1-SQRT(eta))^2*(1+SQRT(pi)*(k-1)+P/k^3*(3/ebn
+kq*(8+etaqk)
+4*pi*ebn/SQRT(eta)*(1-kappa)*(1-kq*3*pi*eta/(5*ebn*etaqk))
-2*(k-1)*P..2*(3-P)*(2*ebn*(eta+etaqk)
+pi*ebn/(3*SQRT(eta))*eps*qx)
+8*pi*ebn/SQRT(eta)*kappa*(k-1)*(ebn/SQRT(eta)-kq/SQRT(ebn))))
-2*ebn*kappa*kq/eta^2*(2-k)*(1-eta)^2</f>
        <v>1.3524763233053615E-4</v>
      </c>
      <c r="E117" s="231"/>
      <c r="F117" s="230" t="s">
        <v>677</v>
      </c>
      <c r="G117" s="11"/>
      <c r="H117" s="213" t="s">
        <v>491</v>
      </c>
      <c r="I117" s="9" t="s">
        <v>477</v>
      </c>
      <c r="J117" s="229"/>
    </row>
    <row r="118" spans="1:10">
      <c r="A118" s="2" t="s">
        <v>488</v>
      </c>
      <c r="B118" s="11" t="s">
        <v>79</v>
      </c>
      <c r="C118" s="198" t="s">
        <v>493</v>
      </c>
      <c r="D118" s="4">
        <f>alfa*theta/8*(P^2+1)*(1/2*(1+SQRT(eta))*(1+_eta11*_eta12*3/4*P..3*(k-1))+(k-1)*(theta12/theta-8*P..2/(P^2+1))) /(2*etaqk^2*SQRT(etaqk)) - C.</f>
        <v>1.7749609873334328E-2</v>
      </c>
      <c r="E118" s="9"/>
      <c r="F118" s="157" t="s">
        <v>676</v>
      </c>
      <c r="G118" s="157" t="s">
        <v>157</v>
      </c>
      <c r="H118" s="2">
        <f>(a.54*a.55^(k-1)*(1+P*a.56*(1-kappa*a.61*a.62^(1-k)) * (1+kq*a.63*(1+kappa*a.64)))*(1-1/k*(a.65*(kq+k-1))^(2-k)*P..2 *(1-P..3 ))) / (k^P*(1+P+Q+kappa*eta^(2-kq)) )</f>
        <v>2.5499329929364472E-2</v>
      </c>
      <c r="I118" s="2">
        <f>(bg-bgx)/bg*100</f>
        <v>-43.661354313329092</v>
      </c>
      <c r="J118" s="1"/>
    </row>
    <row r="119" spans="1:10">
      <c r="A119" s="2" t="s">
        <v>490</v>
      </c>
      <c r="B119" s="11"/>
      <c r="C119" s="168" t="s">
        <v>484</v>
      </c>
      <c r="D119" s="163">
        <f>kappa*(4*alfa*(B+k+1)/(1-alfa^2)*(1+5*alfa^2)/(1-5*alfa^2) - 2*(3*alfa/4/pi)^2-kq*(pi/2-1-alfa^2*pi*ebn*(1+SQRT(eta))/(2*theta*(1-6*alfa^2))) ) +1</f>
        <v>1</v>
      </c>
      <c r="E119" s="9"/>
      <c r="F119" s="157" t="s">
        <v>485</v>
      </c>
      <c r="G119" s="157" t="s">
        <v>401</v>
      </c>
      <c r="H119" s="2"/>
      <c r="I119" s="2"/>
    </row>
    <row r="120" spans="1:10">
      <c r="A120" s="2" t="s">
        <v>487</v>
      </c>
      <c r="B120" s="11" t="s">
        <v>78</v>
      </c>
      <c r="C120" s="198" t="s">
        <v>492</v>
      </c>
      <c r="D120" s="4">
        <f>(P^2/k*(4-k)/4+(k-1)*(pi/4*P..3-_eta11*_eta12*P..2)) /(X.*SQRT(etaqk)*etaqk^2)</f>
        <v>0.17908385160487422</v>
      </c>
      <c r="E120" s="9"/>
      <c r="F120" s="230" t="s">
        <v>675</v>
      </c>
      <c r="G120" s="157" t="s">
        <v>156</v>
      </c>
      <c r="H120" s="2">
        <f>a.41/k * (1 + an*aq)</f>
        <v>0.19477201761069687</v>
      </c>
      <c r="I120" s="2">
        <f>(ag-agx)/ag*100</f>
        <v>-8.7602348649707373</v>
      </c>
    </row>
    <row r="121" spans="1:10">
      <c r="A121" s="2" t="s">
        <v>574</v>
      </c>
      <c r="B121" s="11" t="s">
        <v>573</v>
      </c>
      <c r="C121" s="2" t="s">
        <v>495</v>
      </c>
      <c r="D121" s="4">
        <f>ag*N /(N + 1) + bg*N</f>
        <v>0</v>
      </c>
      <c r="E121" s="9"/>
      <c r="F121" s="157" t="s">
        <v>678</v>
      </c>
      <c r="G121" s="157" t="s">
        <v>158</v>
      </c>
      <c r="H121" s="17">
        <f xml:space="preserve"> (1-Q*(2-k)*(1-kappa)) * (agx*N/(N+2) + bgx*SQRT(N*(N-2)))</f>
        <v>0</v>
      </c>
      <c r="I121" s="2" t="e">
        <f>(D121-fn)/D121*100</f>
        <v>#DIV/0!</v>
      </c>
    </row>
    <row r="122" spans="1:10">
      <c r="A122" s="2"/>
      <c r="B122" s="11"/>
      <c r="C122" s="2"/>
      <c r="D122" s="2"/>
      <c r="E122" s="9"/>
      <c r="F122" s="157"/>
      <c r="G122" s="11"/>
      <c r="H122" s="2"/>
      <c r="I122" s="2"/>
    </row>
    <row r="123" spans="1:10">
      <c r="A123" s="2"/>
      <c r="B123" s="11"/>
      <c r="C123" s="2"/>
      <c r="D123" s="2"/>
      <c r="E123" s="9"/>
      <c r="F123" s="157"/>
      <c r="G123" s="157"/>
      <c r="H123" s="2"/>
      <c r="I123" s="2"/>
    </row>
    <row r="124" spans="1:10">
      <c r="A124" s="2"/>
      <c r="B124" s="11"/>
      <c r="C124" s="2"/>
      <c r="D124" s="2"/>
      <c r="E124" s="9"/>
      <c r="F124" s="157"/>
      <c r="G124" s="157"/>
      <c r="H124" s="2"/>
      <c r="I124" s="2"/>
    </row>
    <row r="125" spans="1:10">
      <c r="A125" s="2"/>
      <c r="B125" s="11"/>
      <c r="C125" s="42" t="s">
        <v>611</v>
      </c>
      <c r="D125" s="21"/>
      <c r="E125" s="56"/>
      <c r="F125" s="159"/>
      <c r="G125" s="11"/>
      <c r="H125" s="2"/>
      <c r="I125" s="2"/>
    </row>
    <row r="126" spans="1:10">
      <c r="A126" s="2"/>
      <c r="B126" s="160"/>
      <c r="C126" s="17"/>
      <c r="D126" s="17"/>
      <c r="E126" s="20"/>
      <c r="F126" s="157"/>
      <c r="G126" s="157"/>
      <c r="H126" s="2"/>
      <c r="I126" s="2"/>
    </row>
    <row r="127" spans="1:10">
      <c r="A127" s="2"/>
      <c r="B127" s="160"/>
      <c r="C127" s="17" t="s">
        <v>727</v>
      </c>
      <c r="D127" s="17"/>
      <c r="E127" s="20"/>
      <c r="F127" s="218" t="s">
        <v>581</v>
      </c>
      <c r="G127" s="219" t="s">
        <v>585</v>
      </c>
      <c r="H127" s="2" t="s">
        <v>582</v>
      </c>
      <c r="I127" s="2"/>
    </row>
    <row r="128" spans="1:10">
      <c r="A128" s="2" t="s">
        <v>579</v>
      </c>
      <c r="B128" s="160"/>
      <c r="C128" s="17" t="s">
        <v>612</v>
      </c>
      <c r="D128" s="217">
        <v>2</v>
      </c>
      <c r="E128" s="20"/>
      <c r="F128" s="29">
        <f>INDEX(Table9,D128,3)</f>
        <v>0</v>
      </c>
      <c r="G128" s="220">
        <f>INDEX(Table9,D128,4)</f>
        <v>0</v>
      </c>
      <c r="H128" s="2" t="str">
        <f>INDEX(Table9,D128,2)</f>
        <v>Keine Korrektur</v>
      </c>
      <c r="I128" s="2"/>
    </row>
    <row r="129" spans="1:9">
      <c r="A129" s="2" t="s">
        <v>578</v>
      </c>
      <c r="B129" s="160"/>
      <c r="C129" s="17"/>
      <c r="D129" s="17"/>
      <c r="E129" s="20"/>
      <c r="F129" s="157"/>
      <c r="G129" s="157"/>
      <c r="H129" s="2"/>
      <c r="I129" s="2"/>
    </row>
    <row r="130" spans="1:9">
      <c r="A130" s="2" t="s">
        <v>526</v>
      </c>
      <c r="B130" s="160"/>
      <c r="C130" s="163" t="s">
        <v>527</v>
      </c>
      <c r="D130" s="163">
        <f>IF(N=0,1,0)</f>
        <v>1</v>
      </c>
      <c r="E130" s="20"/>
      <c r="F130" s="157"/>
      <c r="G130" s="157"/>
      <c r="H130" s="2"/>
      <c r="I130" s="2"/>
    </row>
    <row r="131" spans="1:9">
      <c r="A131" s="2" t="s">
        <v>587</v>
      </c>
      <c r="B131" s="160"/>
      <c r="C131" s="17" t="s">
        <v>576</v>
      </c>
      <c r="D131" s="17">
        <f>WN.0*(1+fn.89)</f>
        <v>42884.418257622863</v>
      </c>
      <c r="E131" s="20"/>
      <c r="F131" s="157"/>
      <c r="G131" s="157"/>
      <c r="H131" s="2"/>
      <c r="I131" s="2"/>
    </row>
    <row r="132" spans="1:9">
      <c r="A132" s="2"/>
      <c r="B132" s="160"/>
      <c r="C132" s="17"/>
      <c r="D132" s="17"/>
      <c r="E132" s="20"/>
      <c r="F132" s="157"/>
      <c r="G132" s="157"/>
      <c r="H132" s="213" t="s">
        <v>491</v>
      </c>
      <c r="I132" s="2"/>
    </row>
    <row r="133" spans="1:9">
      <c r="A133" s="2" t="s">
        <v>508</v>
      </c>
      <c r="B133" s="2" t="s">
        <v>101</v>
      </c>
      <c r="C133" s="24" t="s">
        <v>575</v>
      </c>
      <c r="D133" s="24">
        <f>WN.0*(1+fn.89) - (k.n-1)^3*_alf1</f>
        <v>1770.7982261623474</v>
      </c>
      <c r="E133" s="9"/>
      <c r="F133" s="157" t="s">
        <v>501</v>
      </c>
      <c r="G133" s="157" t="s">
        <v>160</v>
      </c>
      <c r="H133" s="24">
        <f xml:space="preserve"> wgx * (1 + fn)</f>
        <v>21492.248434880345</v>
      </c>
      <c r="I133" s="2"/>
    </row>
    <row r="134" spans="1:9">
      <c r="A134" s="2" t="s">
        <v>504</v>
      </c>
      <c r="B134" s="2" t="s">
        <v>102</v>
      </c>
      <c r="C134" s="24" t="s">
        <v>515</v>
      </c>
      <c r="D134" s="24">
        <f>INT((wn.0N/_alf1)^(1/3)+OffsetK) + 1</f>
        <v>36</v>
      </c>
      <c r="E134" s="9"/>
      <c r="F134" s="157"/>
      <c r="G134" s="157" t="s">
        <v>160</v>
      </c>
      <c r="H134" s="24">
        <f>INT((w.1/_alf1)^(1/3) + 0)</f>
        <v>28</v>
      </c>
      <c r="I134" s="2"/>
    </row>
    <row r="135" spans="1:9">
      <c r="A135" s="2" t="s">
        <v>511</v>
      </c>
      <c r="B135" s="2" t="s">
        <v>103</v>
      </c>
      <c r="C135" s="24" t="s">
        <v>496</v>
      </c>
      <c r="D135" s="201">
        <f>k.n - q.1 - 1</f>
        <v>11</v>
      </c>
      <c r="E135" s="9"/>
      <c r="F135" s="157" t="s">
        <v>497</v>
      </c>
      <c r="G135" s="157" t="s">
        <v>160</v>
      </c>
      <c r="H135" s="201">
        <f xml:space="preserve"> k.1 - q.1</f>
        <v>4</v>
      </c>
      <c r="I135" s="2"/>
    </row>
    <row r="136" spans="1:9">
      <c r="A136" s="2" t="s">
        <v>509</v>
      </c>
      <c r="B136" s="2" t="s">
        <v>104</v>
      </c>
      <c r="C136" s="31" t="s">
        <v>86</v>
      </c>
      <c r="D136" s="31">
        <f>wn.1 - (k.m - 1)^2*_alf2</f>
        <v>56.69670033136731</v>
      </c>
      <c r="E136" s="9"/>
      <c r="F136" s="157"/>
      <c r="G136" s="157" t="s">
        <v>161</v>
      </c>
      <c r="H136" s="31">
        <f>w.1 - k.1^3*_alf1</f>
        <v>442.0749787725581</v>
      </c>
      <c r="I136" s="2"/>
    </row>
    <row r="137" spans="1:9">
      <c r="A137" s="2" t="s">
        <v>505</v>
      </c>
      <c r="B137" s="2" t="s">
        <v>105</v>
      </c>
      <c r="C137" s="31" t="s">
        <v>516</v>
      </c>
      <c r="D137" s="31">
        <f>INT(SQRT(wn.1/_alf2)+OffsetK)+ 1</f>
        <v>39</v>
      </c>
      <c r="E137" s="9"/>
      <c r="F137" s="157"/>
      <c r="G137" s="157" t="s">
        <v>161</v>
      </c>
      <c r="H137" s="31">
        <f>INT( SQRT(w.2 / _alf2) + 0)</f>
        <v>19</v>
      </c>
      <c r="I137" s="2"/>
    </row>
    <row r="138" spans="1:9">
      <c r="A138" s="2" t="s">
        <v>512</v>
      </c>
      <c r="B138" s="2" t="s">
        <v>106</v>
      </c>
      <c r="C138" s="31" t="s">
        <v>182</v>
      </c>
      <c r="D138" s="202">
        <f>k.m - q.2 - 1</f>
        <v>7</v>
      </c>
      <c r="E138" s="9"/>
      <c r="F138" s="157" t="s">
        <v>498</v>
      </c>
      <c r="G138" s="157" t="s">
        <v>161</v>
      </c>
      <c r="H138" s="202">
        <f xml:space="preserve"> k.2 - q.2</f>
        <v>-12</v>
      </c>
      <c r="I138" s="2"/>
    </row>
    <row r="139" spans="1:9">
      <c r="A139" s="2" t="s">
        <v>510</v>
      </c>
      <c r="B139" s="2" t="s">
        <v>107</v>
      </c>
      <c r="C139" s="22" t="s">
        <v>87</v>
      </c>
      <c r="D139" s="22">
        <f>wn.2 - (k.p - 1)*_alf3</f>
        <v>0.22698041101165245</v>
      </c>
      <c r="E139" s="9"/>
      <c r="F139" s="157"/>
      <c r="G139" s="157" t="s">
        <v>162</v>
      </c>
      <c r="H139" s="22">
        <f>w.2 - k.2^2*_alf2</f>
        <v>13.54959731481307</v>
      </c>
      <c r="I139" s="2"/>
    </row>
    <row r="140" spans="1:9">
      <c r="A140" s="2" t="s">
        <v>506</v>
      </c>
      <c r="B140" s="2" t="s">
        <v>108</v>
      </c>
      <c r="C140" s="22" t="s">
        <v>502</v>
      </c>
      <c r="D140" s="22">
        <f>INT(wn.2/_alf3+OffsetK) + 1</f>
        <v>57</v>
      </c>
      <c r="E140" s="9"/>
      <c r="F140" s="157"/>
      <c r="G140" s="157" t="s">
        <v>162</v>
      </c>
      <c r="H140" s="22">
        <f>INT(w.3 / alf3o + 0)</f>
        <v>13</v>
      </c>
      <c r="I140" s="2"/>
    </row>
    <row r="141" spans="1:9">
      <c r="A141" s="2" t="s">
        <v>513</v>
      </c>
      <c r="B141" s="2" t="s">
        <v>109</v>
      </c>
      <c r="C141" s="22" t="s">
        <v>183</v>
      </c>
      <c r="D141" s="203">
        <f>k.p - q.3 - 1</f>
        <v>22</v>
      </c>
      <c r="E141" s="9"/>
      <c r="F141" s="157" t="s">
        <v>499</v>
      </c>
      <c r="G141" s="157" t="s">
        <v>162</v>
      </c>
      <c r="H141" s="203">
        <f xml:space="preserve"> k.3v - q.3</f>
        <v>-21</v>
      </c>
      <c r="I141" s="2"/>
    </row>
    <row r="142" spans="1:9">
      <c r="A142" s="2"/>
      <c r="B142" s="2"/>
      <c r="C142" s="200" t="s">
        <v>121</v>
      </c>
      <c r="D142" s="200">
        <f>(2*k-1) / (3*q.4)</f>
        <v>6.6666666666666666E-2</v>
      </c>
      <c r="E142" s="9"/>
      <c r="F142" s="157"/>
      <c r="G142" s="157"/>
      <c r="H142" s="23"/>
      <c r="I142" s="2"/>
    </row>
    <row r="143" spans="1:9">
      <c r="A143" s="2"/>
      <c r="B143" s="2" t="s">
        <v>110</v>
      </c>
      <c r="C143" s="23" t="s">
        <v>88</v>
      </c>
      <c r="D143" s="23"/>
      <c r="E143" s="9"/>
      <c r="F143" s="157"/>
      <c r="G143" s="157" t="s">
        <v>162</v>
      </c>
      <c r="H143" s="23">
        <f xml:space="preserve"> w.3 - k.3v*alf3o</f>
        <v>0.50109114203391769</v>
      </c>
      <c r="I143" s="2"/>
    </row>
    <row r="144" spans="1:9">
      <c r="A144" s="2" t="s">
        <v>507</v>
      </c>
      <c r="B144" s="2" t="s">
        <v>163</v>
      </c>
      <c r="C144" s="23" t="s">
        <v>503</v>
      </c>
      <c r="D144" s="23">
        <f>INT(-LN(wn.3) / (2*k-1) * (3*q.4) + OffsetK) + 1</f>
        <v>23</v>
      </c>
      <c r="E144" s="29"/>
      <c r="F144" s="157"/>
      <c r="G144" s="157" t="s">
        <v>162</v>
      </c>
      <c r="H144" s="43">
        <f>INT(IF(w.4&lt;=0, alf3o*k.3v, -LN(w.4) / (2*k-1) * (3*q.4)  ) + 0 )</f>
        <v>10</v>
      </c>
      <c r="I144" s="2"/>
    </row>
    <row r="145" spans="1:10">
      <c r="A145" s="2" t="s">
        <v>514</v>
      </c>
      <c r="B145" s="2" t="s">
        <v>164</v>
      </c>
      <c r="C145" s="23" t="s">
        <v>184</v>
      </c>
      <c r="D145" s="204">
        <f>k.sigv - q.4 - 1</f>
        <v>7</v>
      </c>
      <c r="E145" s="9"/>
      <c r="F145" s="157" t="s">
        <v>500</v>
      </c>
      <c r="G145" s="157" t="s">
        <v>162</v>
      </c>
      <c r="H145" s="204">
        <f xml:space="preserve"> k.4v - q.4</f>
        <v>-5</v>
      </c>
      <c r="I145" s="2"/>
    </row>
    <row r="146" spans="1:10">
      <c r="A146" s="2"/>
      <c r="B146" s="11"/>
      <c r="C146" s="2"/>
      <c r="D146" s="2"/>
      <c r="E146" s="9"/>
      <c r="F146" s="157"/>
      <c r="G146" s="11"/>
      <c r="H146" s="2"/>
      <c r="I146" s="2"/>
    </row>
    <row r="147" spans="1:10">
      <c r="A147" s="2"/>
      <c r="B147" s="11"/>
      <c r="C147" s="194" t="s">
        <v>728</v>
      </c>
      <c r="D147" s="2"/>
      <c r="E147" s="9"/>
      <c r="F147" s="25"/>
      <c r="G147" s="11"/>
      <c r="H147" s="2"/>
      <c r="I147" s="2"/>
    </row>
    <row r="148" spans="1:10">
      <c r="A148" s="2"/>
      <c r="B148" s="2" t="s">
        <v>108</v>
      </c>
      <c r="C148" s="6" t="s">
        <v>180</v>
      </c>
      <c r="D148" s="258" t="s">
        <v>401</v>
      </c>
      <c r="E148" s="190"/>
      <c r="F148" s="187"/>
      <c r="G148" s="187" t="s">
        <v>162</v>
      </c>
      <c r="H148" s="22">
        <f>IF(w.4&gt;1,k.3v - 1, k.3v)</f>
        <v>13</v>
      </c>
      <c r="I148" s="2"/>
    </row>
    <row r="149" spans="1:10">
      <c r="A149" s="2"/>
      <c r="B149" s="2" t="s">
        <v>109</v>
      </c>
      <c r="C149" s="6" t="s">
        <v>179</v>
      </c>
      <c r="D149" s="258" t="s">
        <v>401</v>
      </c>
      <c r="E149" s="190"/>
      <c r="F149" s="187"/>
      <c r="G149" s="187" t="s">
        <v>162</v>
      </c>
      <c r="H149" s="22">
        <f>k.3 - q.3</f>
        <v>-21</v>
      </c>
      <c r="I149" s="2"/>
    </row>
    <row r="150" spans="1:10">
      <c r="A150" s="2"/>
      <c r="B150" s="2" t="s">
        <v>111</v>
      </c>
      <c r="C150" s="226" t="s">
        <v>181</v>
      </c>
      <c r="D150" s="259" t="s">
        <v>401</v>
      </c>
      <c r="E150" s="195"/>
      <c r="F150" s="197"/>
      <c r="G150" s="197" t="s">
        <v>162</v>
      </c>
      <c r="H150" s="23">
        <f>INT( IF(w.4&gt;1, k.4v + k.3*alf3o, k.4v) + 0)</f>
        <v>10</v>
      </c>
      <c r="I150" s="2" t="s">
        <v>194</v>
      </c>
      <c r="J150" s="2"/>
    </row>
    <row r="151" spans="1:10">
      <c r="A151" s="2"/>
      <c r="B151" s="2" t="s">
        <v>112</v>
      </c>
      <c r="C151" s="226" t="s">
        <v>178</v>
      </c>
      <c r="D151" s="259" t="s">
        <v>401</v>
      </c>
      <c r="E151" s="195"/>
      <c r="F151" s="197"/>
      <c r="G151" s="197" t="s">
        <v>162</v>
      </c>
      <c r="H151" s="23">
        <f>k.4 - q.4</f>
        <v>-5</v>
      </c>
      <c r="I151" s="2"/>
    </row>
    <row r="152" spans="1:10">
      <c r="A152" s="2"/>
      <c r="B152" s="11"/>
      <c r="C152" s="2"/>
      <c r="D152" s="2"/>
      <c r="E152" s="9"/>
      <c r="F152" s="25"/>
      <c r="G152" s="19" t="str">
        <f>IF(w.4 &gt; 1,"Für dieses N existiert die Resonanzordnung nicht!", "")</f>
        <v/>
      </c>
      <c r="H152" s="2"/>
      <c r="I152" s="2"/>
    </row>
    <row r="153" spans="1:10">
      <c r="A153" s="2"/>
      <c r="B153" s="11"/>
      <c r="C153" s="2"/>
      <c r="D153" s="2"/>
      <c r="E153" s="9"/>
      <c r="F153" s="25"/>
      <c r="G153" s="11"/>
      <c r="H153" s="2"/>
      <c r="I153" s="2"/>
    </row>
    <row r="154" spans="1:10">
      <c r="A154" s="2"/>
      <c r="B154" s="11"/>
      <c r="C154" s="42" t="s">
        <v>730</v>
      </c>
      <c r="D154" s="21"/>
      <c r="E154" s="56"/>
      <c r="F154" s="158"/>
      <c r="G154" s="11"/>
      <c r="H154" s="2"/>
      <c r="I154" s="2"/>
    </row>
    <row r="155" spans="1:10">
      <c r="A155" s="2"/>
      <c r="B155" s="11"/>
      <c r="C155" s="2" t="s">
        <v>540</v>
      </c>
      <c r="D155" s="2"/>
      <c r="E155" s="9"/>
      <c r="F155" s="25"/>
      <c r="G155" s="11"/>
      <c r="H155" s="2"/>
      <c r="I155" s="2"/>
    </row>
    <row r="156" spans="1:10">
      <c r="A156" s="2"/>
      <c r="B156" s="11"/>
      <c r="C156" s="51" t="s">
        <v>198</v>
      </c>
      <c r="D156" s="2"/>
      <c r="E156" s="9"/>
      <c r="F156" s="157"/>
      <c r="G156" s="157"/>
      <c r="H156" s="2"/>
      <c r="I156" s="2"/>
    </row>
    <row r="157" spans="1:10">
      <c r="A157" s="2"/>
      <c r="B157" s="11"/>
      <c r="C157" s="51"/>
      <c r="D157" s="2"/>
      <c r="E157" s="9"/>
      <c r="F157" s="157"/>
      <c r="G157" s="157"/>
      <c r="H157" s="2"/>
      <c r="I157" s="2"/>
    </row>
    <row r="158" spans="1:10">
      <c r="A158" s="2"/>
      <c r="B158" s="11"/>
      <c r="C158" s="4" t="s">
        <v>195</v>
      </c>
      <c r="D158" s="2"/>
      <c r="E158" s="9"/>
      <c r="F158" s="25"/>
      <c r="G158" s="11"/>
      <c r="H158" s="213" t="s">
        <v>491</v>
      </c>
      <c r="I158" s="9" t="s">
        <v>477</v>
      </c>
    </row>
    <row r="159" spans="1:10">
      <c r="A159" s="2" t="s">
        <v>535</v>
      </c>
      <c r="B159" s="2" t="s">
        <v>281</v>
      </c>
      <c r="C159" s="210" t="s">
        <v>632</v>
      </c>
      <c r="D159" s="211">
        <f xml:space="preserve"> n.n^2*(1+n.n)^2*_NN1 + n.m*(2*n.m^2+3*n.m+1)*_NN2 + n.p*(n.p+1)*_NN3 + 4*n.sigma</f>
        <v>18421.428637646935</v>
      </c>
      <c r="E159" s="54"/>
      <c r="F159" s="212" t="s">
        <v>522</v>
      </c>
      <c r="G159" s="157" t="s">
        <v>143</v>
      </c>
      <c r="H159" s="4">
        <f xml:space="preserve"> 4*(_alf1*n.1^2*(1+n.1)^2/4 + _alf2*n.2*(2*n.2^2 + 3*n.2 + 1)/6 + _alf3*n.3*(1+n.3)/2 + n.4)</f>
        <v>-1191.9779589765803</v>
      </c>
      <c r="I159" s="2">
        <f>(mSn-mK)/mSn*100</f>
        <v>106.47060541515545</v>
      </c>
    </row>
    <row r="160" spans="1:10">
      <c r="A160" s="2" t="s">
        <v>536</v>
      </c>
      <c r="B160" s="2" t="s">
        <v>280</v>
      </c>
      <c r="C160" s="198" t="s">
        <v>618</v>
      </c>
      <c r="D160" s="4">
        <f>q.1^2*(1+q.1)^2*_NN1 + q.2*(2*q.2^2+3*q.2+1)*_NN2 + q.3*(q.3+1)*_NN3 + 4*q.4</f>
        <v>397127.82307761139</v>
      </c>
      <c r="E160" s="9"/>
      <c r="F160" s="161" t="s">
        <v>523</v>
      </c>
      <c r="G160" s="157" t="s">
        <v>144</v>
      </c>
      <c r="H160" s="4">
        <f xml:space="preserve"> 4*(_alf1*q.1^2*(1+q.1)^2/4 + _alf2*q.2*(2*q.2^2 + 3*q.2 + 1)/6 + _alf3*q.3*(1+q.3)/2 + q.4)</f>
        <v>397127.82307761139</v>
      </c>
      <c r="I160" s="2">
        <f>(mGn-mG)/mGn*100</f>
        <v>0</v>
      </c>
    </row>
    <row r="161" spans="1:10">
      <c r="A161" s="2" t="s">
        <v>528</v>
      </c>
      <c r="B161" s="11"/>
      <c r="C161" s="168" t="s">
        <v>619</v>
      </c>
      <c r="D161" s="163">
        <f>k+kappa+P+Q</f>
        <v>6</v>
      </c>
      <c r="E161" s="9"/>
      <c r="F161" s="161" t="s">
        <v>529</v>
      </c>
      <c r="G161" s="157"/>
      <c r="H161" s="2"/>
      <c r="I161" s="2"/>
    </row>
    <row r="162" spans="1:10">
      <c r="A162" s="2" t="s">
        <v>531</v>
      </c>
      <c r="B162" s="11"/>
      <c r="C162" s="168" t="s">
        <v>620</v>
      </c>
      <c r="D162" s="163">
        <f>2^z./etaqk^2*(P^2+3/2*(P-Q)+P*(1-kq)+4*kappa*B*(1-Q)/(3-2*kq) + (k-1)*(P+2*Q-4*pi/2^(1/4)*(P-Q)*(1-kq)))</f>
        <v>3168.4485774645782</v>
      </c>
      <c r="E162" s="9"/>
      <c r="F162" s="161" t="s">
        <v>530</v>
      </c>
      <c r="G162" s="157"/>
      <c r="H162" s="2"/>
      <c r="I162" s="2"/>
    </row>
    <row r="163" spans="1:10">
      <c r="A163" s="2" t="s">
        <v>534</v>
      </c>
      <c r="B163" s="11"/>
      <c r="C163" s="198" t="s">
        <v>621</v>
      </c>
      <c r="D163" s="17">
        <f>_NN4*n.p^2/(1+n.p^2)*(n.sigma+q.4)/(SQRT(1+n.sigma^2))*(2^(1/4)-4*B*U./WN.0)
+P*(P-2)^2*(1+kappa*(1-kq)/(2*theta*alfa))*(pi/ebn)^2*SQRT(_eta12)*(q.2-q.1)
-(P+1)*Q..3/alfa</f>
        <v>-93.149046463825115</v>
      </c>
      <c r="E163" s="38"/>
      <c r="F163" s="161" t="s">
        <v>533</v>
      </c>
      <c r="G163" s="157" t="s">
        <v>401</v>
      </c>
      <c r="H163" s="9" t="s">
        <v>401</v>
      </c>
      <c r="I163" s="2"/>
    </row>
    <row r="164" spans="1:10">
      <c r="A164" s="2" t="s">
        <v>537</v>
      </c>
      <c r="B164" s="2" t="s">
        <v>279</v>
      </c>
      <c r="C164" s="55" t="s">
        <v>617</v>
      </c>
      <c r="D164" s="4">
        <f>2*n.n*q.1*(1 + 3*(n.n+q.1+n.n*q.1) + 2*(n.n^2+q.1^2))*_NN1 + 6*n.m*q.2*(1+n.m+q.2)*_NN2
+ 2*n.p*q.3*_NN3 + fi.*deltaN</f>
        <v>1203567.8489816375</v>
      </c>
      <c r="E164" s="9"/>
      <c r="F164" s="161" t="s">
        <v>544</v>
      </c>
      <c r="G164" s="157" t="s">
        <v>145</v>
      </c>
      <c r="H164" s="4">
        <f>2*n.1*q.1*(1 + 3*(n.1+q.1+n.1*q.1) + 2*(n.1^2+q.1^2))*_alf1 + 6*n.2*q.2*(1+n.2+q.2)*2/3*_alf2 + 2*n.3*q.3*2*_alf3</f>
        <v>248456.26672470284</v>
      </c>
      <c r="I164" s="2">
        <f>(mFn-mH)/mFn*100</f>
        <v>79.356687956152484</v>
      </c>
    </row>
    <row r="165" spans="1:10">
      <c r="A165" s="2" t="s">
        <v>538</v>
      </c>
      <c r="B165" s="2" t="s">
        <v>312</v>
      </c>
      <c r="C165" s="55" t="s">
        <v>313</v>
      </c>
      <c r="D165" s="4">
        <f>P*(-1)^(P+Q)*(P+Q)*_NN5 + Q*(P+1)*_NN6</f>
        <v>921.65791625525981</v>
      </c>
      <c r="E165" s="34"/>
      <c r="F165" s="161" t="s">
        <v>545</v>
      </c>
      <c r="G165" s="157" t="s">
        <v>146</v>
      </c>
      <c r="H165" s="215">
        <f xml:space="preserve"> 3*P/(pi*SQRT(etaqk))*(1-alfm/alfp)*(P+Q)*(-1)^(P+Q) * (1-alfa/3+pi/2*(k-1)*3^(1-kq/2)) * (1+2*k*kappa/(3*eta^2)*xi*(1+xi^2*(P-Q)*(pi^2-kq))) / (1+4*xi/k*IF(P&lt;2,0,COMBIN(P,2))*(xi/6)^kq) *(2*SQRT(_eta11*etaqk)+kq*eta^2*(k-1)) * (1+(4*pi*alfa)/(eta*SQRT(eta)) )*(1+Q*(1-kappa)*(2-k)*n.1/q.1) + 4*(1-alfm/alfp)*alfa/(xi*xi)*(P+Q) + 4*kq*alfm/alfp</f>
        <v>46.832681462952976</v>
      </c>
      <c r="I165" s="2">
        <f>(mFin-Fi)/mFin*100</f>
        <v>94.918648162516035</v>
      </c>
    </row>
    <row r="166" spans="1:10">
      <c r="A166" s="2"/>
      <c r="B166" s="2" t="s">
        <v>117</v>
      </c>
      <c r="C166" s="206" t="s">
        <v>314</v>
      </c>
      <c r="D166" s="21"/>
      <c r="E166" s="207"/>
      <c r="F166" s="208" t="s">
        <v>401</v>
      </c>
      <c r="G166" s="157" t="s">
        <v>315</v>
      </c>
      <c r="H166" s="32">
        <f>Fi - 4*kq*alfm/alfp</f>
        <v>43.283595602527505</v>
      </c>
      <c r="I166" s="2"/>
    </row>
    <row r="167" spans="1:10">
      <c r="A167" s="2"/>
      <c r="B167" s="2"/>
      <c r="C167" s="2"/>
      <c r="D167" s="2"/>
      <c r="E167" s="9"/>
      <c r="F167" s="157"/>
      <c r="G167" s="157"/>
      <c r="H167" s="2"/>
      <c r="I167" s="2"/>
    </row>
    <row r="168" spans="1:10" ht="12.75" customHeight="1">
      <c r="A168" s="2"/>
      <c r="B168" s="11"/>
      <c r="C168" s="29" t="s">
        <v>541</v>
      </c>
      <c r="D168" s="42">
        <f>mSn+mGn+mFn+mFin</f>
        <v>1620038.758613151</v>
      </c>
      <c r="E168" s="9"/>
      <c r="F168" s="162"/>
      <c r="G168" s="29" t="s">
        <v>666</v>
      </c>
      <c r="H168" s="4">
        <f>mK + mG + mH</f>
        <v>644392.11184333765</v>
      </c>
      <c r="I168" s="53">
        <f xml:space="preserve"> kgh / (mK + mG + mH) *100</f>
        <v>100.00000000000003</v>
      </c>
      <c r="J168" s="209" t="s">
        <v>539</v>
      </c>
    </row>
    <row r="169" spans="1:10" ht="12.75" customHeight="1">
      <c r="A169" s="2"/>
      <c r="B169" s="11"/>
      <c r="C169" s="29"/>
      <c r="D169" s="4"/>
      <c r="E169" s="9"/>
      <c r="F169" s="162"/>
      <c r="G169" s="29"/>
      <c r="H169" s="4"/>
      <c r="I169" s="53"/>
    </row>
    <row r="170" spans="1:10">
      <c r="A170" s="2"/>
      <c r="B170" s="11"/>
      <c r="C170" s="17" t="s">
        <v>731</v>
      </c>
      <c r="D170" s="2"/>
      <c r="E170" s="9"/>
      <c r="F170" s="162"/>
      <c r="G170" s="11"/>
      <c r="H170" s="53"/>
      <c r="I170" s="35"/>
    </row>
    <row r="171" spans="1:10">
      <c r="A171" s="2" t="s">
        <v>401</v>
      </c>
      <c r="B171" s="2" t="s">
        <v>116</v>
      </c>
      <c r="C171" s="17" t="s">
        <v>550</v>
      </c>
      <c r="D171" s="2" t="s">
        <v>401</v>
      </c>
      <c r="E171" s="34"/>
      <c r="F171" s="157" t="s">
        <v>597</v>
      </c>
      <c r="G171" s="157" t="s">
        <v>196</v>
      </c>
      <c r="H171" s="52">
        <f xml:space="preserve"> 4*(_alf1*k.1^2*(1+k.1)^2/4 + _alf2*k.2*(2*k.2^2 + 3*k.2 + 1)/6 + _alf3*k.3*(1+k.3)/2 + k.4)</f>
        <v>644392.11184333777</v>
      </c>
      <c r="I171" s="2"/>
    </row>
    <row r="172" spans="1:10">
      <c r="A172" s="2"/>
      <c r="B172" s="2"/>
      <c r="C172" s="17"/>
      <c r="D172" s="2"/>
      <c r="E172" s="34"/>
      <c r="F172" s="157"/>
      <c r="G172" s="157"/>
      <c r="H172" s="52"/>
      <c r="I172" s="2"/>
    </row>
    <row r="173" spans="1:10" ht="13.5" thickBot="1">
      <c r="A173" s="2"/>
      <c r="B173" s="11"/>
      <c r="C173" s="4" t="s">
        <v>197</v>
      </c>
      <c r="D173" s="32"/>
      <c r="E173" s="35"/>
      <c r="F173" s="25"/>
      <c r="G173" s="11"/>
      <c r="H173" s="2"/>
      <c r="I173" s="2"/>
    </row>
    <row r="174" spans="1:10" ht="13.5" thickBot="1">
      <c r="A174" s="2" t="s">
        <v>569</v>
      </c>
      <c r="B174" s="11"/>
      <c r="C174" s="2" t="s">
        <v>633</v>
      </c>
      <c r="D174" s="263">
        <f>fakMeV*amu*(alfpn*(mSn + mGn + mFn + mFin) + 4*kq*alfmn)</f>
        <v>3761.2733480992224</v>
      </c>
      <c r="E174" s="57" t="s">
        <v>517</v>
      </c>
      <c r="F174" s="157"/>
      <c r="G174" s="157" t="s">
        <v>175</v>
      </c>
      <c r="H174" s="263">
        <f>amu*fakMeV*alfp*(kgh + Fi)</f>
        <v>1496.2015736796043</v>
      </c>
      <c r="I174" s="2">
        <f>(mass89-H174)/mass89*100</f>
        <v>60.220876410492288</v>
      </c>
    </row>
    <row r="175" spans="1:10" ht="13.5" thickBot="1">
      <c r="A175" s="2"/>
      <c r="B175" s="11"/>
      <c r="C175" s="44" t="s">
        <v>172</v>
      </c>
      <c r="D175" s="267">
        <f>INDEX(TableEmpCODATA2014,D16,1)</f>
        <v>0</v>
      </c>
      <c r="E175" s="38" t="str">
        <f>INDEX(Table1,D16,2)</f>
        <v>o-- (1982)</v>
      </c>
      <c r="F175" s="335">
        <f>INDEX(TableEmpCODATA2014,D16,3)</f>
        <v>0</v>
      </c>
      <c r="G175" s="11"/>
      <c r="H175" s="334" t="s">
        <v>739</v>
      </c>
      <c r="I175" s="2"/>
    </row>
    <row r="176" spans="1:10" ht="13.5" thickBot="1">
      <c r="A176" s="2"/>
      <c r="B176" s="11"/>
      <c r="C176" s="44" t="s">
        <v>781</v>
      </c>
      <c r="D176" s="268">
        <f>(1-D175/H174) * 100</f>
        <v>100</v>
      </c>
      <c r="E176" s="9" t="s">
        <v>173</v>
      </c>
      <c r="F176" s="25"/>
      <c r="G176" s="11"/>
      <c r="H176" s="2" t="e">
        <f>(1-H174/D175)*100</f>
        <v>#DIV/0!</v>
      </c>
      <c r="I176" s="2"/>
    </row>
    <row r="177" spans="1:9" ht="13.5" thickBot="1">
      <c r="A177" s="2"/>
      <c r="B177" s="11"/>
      <c r="C177" s="44" t="s">
        <v>764</v>
      </c>
      <c r="D177" s="268">
        <f>ABS((1-D175/D174) * 100)</f>
        <v>100</v>
      </c>
      <c r="E177" s="9"/>
      <c r="F177" s="25"/>
      <c r="G177" s="11"/>
      <c r="H177" s="2"/>
      <c r="I177" s="2"/>
    </row>
    <row r="178" spans="1:9">
      <c r="A178" s="2"/>
      <c r="B178" s="11"/>
      <c r="C178" s="38" t="s">
        <v>682</v>
      </c>
      <c r="D178" s="45"/>
      <c r="E178" s="9"/>
      <c r="F178" s="25"/>
      <c r="G178" s="11"/>
      <c r="H178" s="2"/>
      <c r="I178" s="2"/>
    </row>
    <row r="179" spans="1:9">
      <c r="A179" s="2"/>
      <c r="B179" s="11"/>
      <c r="C179" s="2" t="s">
        <v>732</v>
      </c>
      <c r="D179" s="2"/>
      <c r="E179" s="9"/>
      <c r="F179" s="25"/>
      <c r="G179" s="11"/>
      <c r="H179" s="2"/>
      <c r="I179" s="2"/>
    </row>
    <row r="180" spans="1:9">
      <c r="A180" s="2"/>
      <c r="B180" s="11"/>
      <c r="C180" s="2" t="s">
        <v>733</v>
      </c>
      <c r="D180" s="2"/>
      <c r="E180" s="9"/>
      <c r="F180" s="25"/>
      <c r="G180" s="11"/>
      <c r="H180" s="2"/>
      <c r="I180" s="2"/>
    </row>
    <row r="181" spans="1:9">
      <c r="A181" s="2"/>
      <c r="B181" s="11"/>
      <c r="C181" s="19"/>
      <c r="D181" s="2"/>
      <c r="E181" s="9"/>
      <c r="F181" s="25"/>
      <c r="G181" s="11"/>
      <c r="H181" s="2"/>
      <c r="I181" s="2"/>
    </row>
    <row r="182" spans="1:9">
      <c r="A182" s="2"/>
      <c r="B182" s="11"/>
      <c r="C182" s="42" t="s">
        <v>546</v>
      </c>
      <c r="D182" s="21"/>
      <c r="E182" s="56"/>
      <c r="F182" s="158"/>
      <c r="G182" s="11"/>
      <c r="H182" s="2"/>
      <c r="I182" s="2"/>
    </row>
    <row r="183" spans="1:9">
      <c r="A183" s="2"/>
      <c r="B183" s="11"/>
      <c r="C183" s="17" t="s">
        <v>547</v>
      </c>
      <c r="D183" s="2"/>
      <c r="E183" s="9"/>
      <c r="F183" s="25"/>
      <c r="G183" s="11"/>
      <c r="H183" s="2"/>
      <c r="I183" s="2"/>
    </row>
    <row r="184" spans="1:9">
      <c r="A184" s="2"/>
      <c r="B184" s="11"/>
      <c r="C184" s="17"/>
      <c r="D184" s="2"/>
      <c r="E184" s="9"/>
      <c r="F184" s="25"/>
      <c r="G184" s="11"/>
      <c r="H184" s="2"/>
      <c r="I184" s="2"/>
    </row>
    <row r="185" spans="1:9">
      <c r="A185" s="2" t="s">
        <v>553</v>
      </c>
      <c r="B185" s="11"/>
      <c r="C185" s="163" t="s">
        <v>548</v>
      </c>
      <c r="D185" s="163">
        <f>2*alfa/(pi*ebn)*((1-SQRT(eta))/(1+SQRT(eta)))^2</f>
        <v>1.0811704418114181E-8</v>
      </c>
      <c r="E185" s="9"/>
      <c r="F185" s="157" t="s">
        <v>533</v>
      </c>
      <c r="G185" s="11"/>
      <c r="H185" s="2"/>
      <c r="I185" s="2"/>
    </row>
    <row r="186" spans="1:9">
      <c r="A186" s="2" t="s">
        <v>556</v>
      </c>
      <c r="B186" s="11"/>
      <c r="C186" s="163" t="s">
        <v>549</v>
      </c>
      <c r="D186" s="260">
        <f>eta*beta0/(3*SQRT(2))*(1-SQRT(eta))^4*P^(2+eps*qx)*IF(AND(P=1,kq^2-kq=0), 1,(P-1)^((kq-1)*kq/2)) / (1+4*kq^2*(kq-1)*(2*kq+1))</f>
        <v>3.9488992470686517E-20</v>
      </c>
      <c r="E186" s="9"/>
      <c r="F186" s="157" t="s">
        <v>572</v>
      </c>
      <c r="G186" s="11"/>
      <c r="H186" s="2"/>
      <c r="I186" s="2"/>
    </row>
    <row r="187" spans="1:9">
      <c r="A187" s="2" t="s">
        <v>554</v>
      </c>
      <c r="B187" s="11"/>
      <c r="C187" s="163" t="s">
        <v>551</v>
      </c>
      <c r="D187" s="163">
        <f>B*(5*B+3)+(2*H-3)/(P+1)+cs^k*(B*(3*B+2*(H+1))+H+1/2)*(1-kq)
-Q*(B*(2*(B+H)-1)+H/2+3)+kappa*kq*(B*(3*B+1)-5/2)*(k-Q)
-P..2*P^2*(P+Q)^2*(8*B+1-(5*B-(2*H+1)*(1+2*P..3-Q)+2)*kq)
-P..2*H*(1-kq)-(B-3/4)^2*(P-1)*(P-2)*(P-3)*(-1)^(k-1)
+(Q-kq)*(1-kq+B*kq)*(3*(H+B)+pi*ebn/eta-kq/4)*(P+1)^3*(k-1)
+kappa*((-1)^(1-kq)*(7*H*B+3*(H+B)-5/2)+(1-kq)*(H*(3*B-4)+B+7/2))*(k-1)
+Q*P..2*((2-kq)*(1+eps*qx)*(B/2*(H+2)+3/4)+5/2*H*B+3*H
-(B+5)/(P+1))-5/2*H^2*P..3*(kq*(1+pi/3*(2-kq)*_eta22)*B-(2-kq)*(1-kq))</f>
        <v>-3055100.5395667953</v>
      </c>
      <c r="E187" s="60" t="s">
        <v>489</v>
      </c>
      <c r="F187" s="157" t="s">
        <v>557</v>
      </c>
      <c r="G187" s="11"/>
      <c r="H187" s="2"/>
      <c r="I187" s="2"/>
    </row>
    <row r="188" spans="1:9">
      <c r="A188" s="2" t="s">
        <v>555</v>
      </c>
      <c r="B188" s="11"/>
      <c r="C188" s="163" t="s">
        <v>552</v>
      </c>
      <c r="D188" s="163">
        <f>(P*(7+6*(1-kq)*(cs-P..2)-2*kq*(1-P..2))+kappa*Q*((3*z.-1)*B+1))*(2-k)
+1/2*(1-kappa)*((kq-eps*qx-2)*Q+eps*cs*P+2*(P+1)
-(1-kq)*P*(P-3)/(1+P*(P^2-1))*(4*B-6+P))*(k-1)-P..3*(kq-eps*qx)</f>
        <v>-2</v>
      </c>
      <c r="E188" s="9"/>
      <c r="F188" s="157" t="s">
        <v>558</v>
      </c>
      <c r="G188" s="11"/>
      <c r="H188" s="2"/>
      <c r="I188" s="2"/>
    </row>
    <row r="189" spans="1:9">
      <c r="A189" s="2" t="s">
        <v>563</v>
      </c>
      <c r="B189" s="11"/>
      <c r="C189" s="163" t="s">
        <v>559</v>
      </c>
      <c r="D189" s="163">
        <f>2 - k + eps*cs + (2*k*Q-kappa*P) + Q..3 + 1/k*(P-1)*(P-2)*(P-3)</f>
        <v>2</v>
      </c>
      <c r="E189" s="60"/>
      <c r="F189" s="157" t="s">
        <v>560</v>
      </c>
      <c r="G189" s="11"/>
      <c r="H189" s="2"/>
      <c r="I189" s="2"/>
    </row>
    <row r="190" spans="1:9">
      <c r="A190" s="2" t="s">
        <v>564</v>
      </c>
      <c r="B190" s="11"/>
      <c r="C190" s="163" t="s">
        <v>561</v>
      </c>
      <c r="D190" s="163">
        <f>IF(P=3,-D,1-1/3*(1-kq)*(P-1)^2*(3-P)*(1+P-Q-eps*cs*P/2)*(1+beta0*(-1)^k)-P..3*(1+D))</f>
        <v>-3.9488992470686517E-20</v>
      </c>
      <c r="E190" s="9"/>
      <c r="F190" s="157" t="s">
        <v>571</v>
      </c>
      <c r="G190" s="11"/>
      <c r="H190" s="2"/>
      <c r="I190" s="2"/>
    </row>
    <row r="191" spans="1:9" ht="13.5" thickBot="1">
      <c r="A191" s="2" t="s">
        <v>567</v>
      </c>
      <c r="B191" s="11"/>
      <c r="C191" s="17" t="s">
        <v>565</v>
      </c>
      <c r="D191" s="4">
        <f>F*(fi. + (-1)^s.*(1+fi.)*(b.1 + b.2/WN.0))</f>
        <v>-2.6283393407413329E-16</v>
      </c>
      <c r="E191" s="9"/>
      <c r="F191" s="157" t="s">
        <v>533</v>
      </c>
      <c r="G191" s="11"/>
      <c r="H191" s="2"/>
      <c r="I191" s="2"/>
    </row>
    <row r="192" spans="1:9" ht="13.5" thickBot="1">
      <c r="A192" s="2"/>
      <c r="B192" s="11"/>
      <c r="C192" s="4" t="s">
        <v>568</v>
      </c>
      <c r="D192" s="286">
        <f>192*(hq*2*pi)*H*y.*fakMeV*deltaN / (_c^2*mass89*(_eta22*(1-SQRT(eta))^2*(1-SQRT(_eta11))^2*(1-SQRT(_eta12))^2)*(H+n.n+n.m+n.p+n.sigma)
*(n.n+ABS(n.m)+ABS(n.p)*beta0))</f>
        <v>-4.6431685374918777E-26</v>
      </c>
      <c r="E192" s="38" t="s">
        <v>570</v>
      </c>
      <c r="F192" s="157" t="s">
        <v>562</v>
      </c>
      <c r="G192" s="11"/>
      <c r="H192" s="2"/>
      <c r="I192" s="2"/>
    </row>
    <row r="193" spans="1:9" ht="13.5" thickBot="1">
      <c r="A193" s="2"/>
      <c r="B193" s="11"/>
      <c r="C193" s="44" t="s">
        <v>172</v>
      </c>
      <c r="D193" s="267">
        <f>INDEX(TableEmpTimes,D16,1)</f>
        <v>0</v>
      </c>
      <c r="E193" s="38" t="str">
        <f>INDEX(Table1,D16,2)</f>
        <v>o-- (1982)</v>
      </c>
      <c r="F193" s="335">
        <f>INDEX(TableEmpTimes,D16,3)</f>
        <v>0</v>
      </c>
      <c r="G193" s="11"/>
      <c r="H193" s="334" t="s">
        <v>763</v>
      </c>
      <c r="I193" s="2"/>
    </row>
    <row r="194" spans="1:9" ht="13.5" thickBot="1">
      <c r="A194" s="2"/>
      <c r="B194" s="11"/>
      <c r="C194" s="44" t="s">
        <v>764</v>
      </c>
      <c r="D194" s="268">
        <f>ABS((1-D193/D192) * 100)</f>
        <v>100</v>
      </c>
      <c r="E194" s="9" t="s">
        <v>173</v>
      </c>
      <c r="F194" s="25"/>
      <c r="G194" s="11"/>
      <c r="H194" s="2"/>
      <c r="I194" s="2"/>
    </row>
    <row r="195" spans="1:9">
      <c r="A195" s="2"/>
      <c r="B195" s="11"/>
      <c r="C195" s="44"/>
      <c r="D195" s="45"/>
      <c r="E195" s="9"/>
      <c r="F195" s="25"/>
      <c r="G195" s="11"/>
      <c r="H195" s="2"/>
      <c r="I195" s="2"/>
    </row>
    <row r="196" spans="1:9">
      <c r="A196" s="2"/>
      <c r="B196" s="11"/>
      <c r="C196" s="42" t="s">
        <v>660</v>
      </c>
      <c r="D196" s="21"/>
      <c r="E196" s="56"/>
      <c r="F196" s="158"/>
      <c r="G196" s="11"/>
      <c r="H196" s="2"/>
      <c r="I196" s="2"/>
    </row>
    <row r="197" spans="1:9">
      <c r="A197" s="2"/>
      <c r="B197" s="11"/>
      <c r="C197" s="4"/>
      <c r="D197" s="2"/>
      <c r="E197" s="9"/>
      <c r="F197" s="25"/>
      <c r="G197" s="11"/>
      <c r="H197" s="2"/>
      <c r="I197" s="2"/>
    </row>
    <row r="198" spans="1:9">
      <c r="A198" s="2"/>
      <c r="B198" s="11"/>
      <c r="C198" s="17" t="s">
        <v>609</v>
      </c>
      <c r="D198" s="2"/>
      <c r="E198" s="9"/>
      <c r="F198" s="25"/>
      <c r="G198" s="11"/>
      <c r="H198" s="2"/>
      <c r="I198" s="2"/>
    </row>
    <row r="199" spans="1:9">
      <c r="A199" s="2"/>
      <c r="B199" s="11"/>
      <c r="C199" s="4"/>
      <c r="D199" s="2"/>
      <c r="E199" s="9"/>
      <c r="F199" s="25"/>
      <c r="G199" s="11"/>
      <c r="H199" s="2"/>
      <c r="I199" s="2"/>
    </row>
    <row r="200" spans="1:9">
      <c r="A200" s="2" t="s">
        <v>590</v>
      </c>
      <c r="B200" s="11"/>
      <c r="C200" s="2" t="s">
        <v>591</v>
      </c>
      <c r="D200" s="2">
        <f>(_NN3*(n.p + q.3) - 2*q.4 )/2</f>
        <v>41.469719920355658</v>
      </c>
      <c r="E200" s="9"/>
      <c r="F200" s="157" t="s">
        <v>588</v>
      </c>
      <c r="G200" s="11"/>
      <c r="H200" s="2"/>
      <c r="I200" s="2"/>
    </row>
    <row r="201" spans="1:9">
      <c r="A201" s="2"/>
      <c r="B201" s="11"/>
      <c r="C201" s="4" t="s">
        <v>592</v>
      </c>
      <c r="D201" s="227">
        <f>Lsigma -n.sigma</f>
        <v>34.469719920355658</v>
      </c>
      <c r="E201" s="9"/>
      <c r="F201" s="157" t="s">
        <v>589</v>
      </c>
      <c r="G201" s="11"/>
      <c r="H201" s="2"/>
      <c r="I201" s="2"/>
    </row>
    <row r="202" spans="1:9">
      <c r="A202" s="2"/>
      <c r="B202" s="11"/>
      <c r="C202" s="221" t="str">
        <f>IF(D201&gt;0,"","==&gt; Diese Resonanz ist nicht zusätzlich extern anregbar")</f>
        <v/>
      </c>
      <c r="D202" s="2"/>
      <c r="E202" s="9"/>
      <c r="F202" s="25"/>
      <c r="G202" s="11"/>
      <c r="H202" s="2"/>
      <c r="I202" s="2"/>
    </row>
    <row r="203" spans="1:9">
      <c r="A203" s="2"/>
      <c r="B203" s="11"/>
      <c r="C203" s="2"/>
      <c r="D203" s="2"/>
      <c r="E203" s="9"/>
      <c r="F203" s="25"/>
      <c r="G203" s="11"/>
      <c r="H203" s="2"/>
      <c r="I203" s="2"/>
    </row>
    <row r="204" spans="1:9">
      <c r="A204" s="2"/>
      <c r="B204" s="11"/>
      <c r="C204" s="42" t="s">
        <v>237</v>
      </c>
      <c r="D204" s="21"/>
      <c r="E204" s="56"/>
      <c r="F204" s="158"/>
      <c r="G204" s="11"/>
      <c r="H204" s="2"/>
      <c r="I204" s="2"/>
    </row>
    <row r="205" spans="1:9">
      <c r="A205" s="2"/>
      <c r="B205" s="11"/>
      <c r="C205" s="2"/>
      <c r="D205" s="2"/>
      <c r="E205" s="9"/>
      <c r="F205" s="25"/>
      <c r="G205" s="11"/>
      <c r="H205" s="2"/>
      <c r="I205" s="2"/>
    </row>
    <row r="206" spans="1:9">
      <c r="A206" s="2"/>
      <c r="B206" s="11"/>
      <c r="C206" s="2" t="s">
        <v>593</v>
      </c>
      <c r="D206" s="2"/>
      <c r="E206" s="9"/>
      <c r="F206" s="25"/>
      <c r="G206" s="11"/>
      <c r="H206" s="2"/>
      <c r="I206" s="2"/>
    </row>
    <row r="207" spans="1:9">
      <c r="A207" s="2"/>
      <c r="B207" s="11"/>
      <c r="C207" s="2" t="s">
        <v>594</v>
      </c>
      <c r="D207" s="2"/>
      <c r="E207" s="9"/>
      <c r="F207" s="25"/>
      <c r="G207" s="11"/>
      <c r="H207" s="2"/>
      <c r="I207" s="2"/>
    </row>
    <row r="208" spans="1:9">
      <c r="A208" s="2"/>
      <c r="B208" s="11"/>
      <c r="C208" s="2" t="s">
        <v>294</v>
      </c>
      <c r="D208" s="2"/>
      <c r="E208" s="9"/>
      <c r="F208" s="25"/>
      <c r="G208" s="11"/>
      <c r="H208" s="2"/>
      <c r="I208" s="2"/>
    </row>
    <row r="209" spans="1:10">
      <c r="A209" s="2"/>
      <c r="B209" s="11"/>
      <c r="C209" s="2" t="s">
        <v>295</v>
      </c>
      <c r="D209" s="2"/>
      <c r="E209" s="9"/>
      <c r="F209" s="25"/>
      <c r="G209" s="11"/>
      <c r="H209" s="2"/>
      <c r="I209" s="2"/>
    </row>
    <row r="210" spans="1:10">
      <c r="A210" s="2"/>
      <c r="B210" s="11"/>
      <c r="C210" s="2"/>
      <c r="D210" s="2"/>
      <c r="E210" s="9"/>
      <c r="F210" s="25"/>
      <c r="G210" s="11"/>
      <c r="H210" s="2"/>
      <c r="I210" s="2"/>
    </row>
    <row r="211" spans="1:10">
      <c r="A211" s="2"/>
      <c r="B211" s="11"/>
      <c r="C211" s="2" t="s">
        <v>610</v>
      </c>
      <c r="D211" s="2"/>
      <c r="E211" s="9"/>
      <c r="F211" s="25"/>
      <c r="G211" s="11"/>
      <c r="H211" s="2"/>
      <c r="I211" s="2"/>
    </row>
    <row r="212" spans="1:10">
      <c r="A212" s="2"/>
      <c r="B212" s="11"/>
      <c r="C212" s="2" t="s">
        <v>679</v>
      </c>
      <c r="D212" s="2"/>
      <c r="E212" s="9"/>
      <c r="F212" s="25"/>
      <c r="G212" s="11"/>
      <c r="H212" s="2"/>
      <c r="I212" s="2"/>
    </row>
    <row r="213" spans="1:10">
      <c r="A213" s="2"/>
      <c r="B213" s="11"/>
      <c r="C213" s="2"/>
      <c r="D213" s="2"/>
      <c r="E213" s="9"/>
      <c r="F213" s="25"/>
      <c r="G213" s="11"/>
      <c r="H213" s="213" t="s">
        <v>491</v>
      </c>
      <c r="I213" s="9" t="s">
        <v>477</v>
      </c>
    </row>
    <row r="214" spans="1:10">
      <c r="A214" s="2" t="s">
        <v>596</v>
      </c>
      <c r="B214" s="2" t="s">
        <v>232</v>
      </c>
      <c r="C214" s="224" t="s">
        <v>680</v>
      </c>
      <c r="D214" s="163">
        <f>INDEX(Table1d,D16,1)</f>
        <v>1619647.4158086113</v>
      </c>
      <c r="E214" s="9"/>
      <c r="F214" s="25"/>
      <c r="G214" s="224" t="s">
        <v>681</v>
      </c>
      <c r="H214" s="222">
        <f>INDEX(Table1c,D16,1)</f>
        <v>660739.82064510533</v>
      </c>
      <c r="I214" s="2"/>
    </row>
    <row r="215" spans="1:10">
      <c r="A215" s="2" t="s">
        <v>599</v>
      </c>
      <c r="B215" s="2" t="s">
        <v>233</v>
      </c>
      <c r="C215" s="24" t="s">
        <v>290</v>
      </c>
      <c r="D215" s="24">
        <f xml:space="preserve"> INT((  (P+1)      *(kghfig89 + 1*4*kq*alfmn/alfpn)/(2*_alf1))^(1/3) -q.1)</f>
        <v>126</v>
      </c>
      <c r="E215" s="9"/>
      <c r="F215" s="157" t="s">
        <v>634</v>
      </c>
      <c r="G215" s="157" t="s">
        <v>215</v>
      </c>
      <c r="H215" s="24">
        <f xml:space="preserve"> INT( ( ( (2*(P+1))^(2-k)* (k+1) )  / (4*_alf1)* (kghfig))^(1/3) - q.1)</f>
        <v>56</v>
      </c>
      <c r="I215" s="261">
        <f>(L.189-L.1)/L.189*100</f>
        <v>55.555555555555557</v>
      </c>
    </row>
    <row r="216" spans="1:10" ht="12.75" customHeight="1">
      <c r="A216" s="2"/>
      <c r="B216" s="11"/>
      <c r="C216" s="31"/>
      <c r="D216" s="31"/>
      <c r="E216" s="9"/>
      <c r="F216" s="25"/>
      <c r="G216" s="11"/>
      <c r="H216" s="2"/>
      <c r="I216" s="2"/>
      <c r="J216" s="39"/>
    </row>
    <row r="217" spans="1:10">
      <c r="A217" s="2"/>
      <c r="B217" s="11"/>
      <c r="C217" s="31" t="s">
        <v>637</v>
      </c>
      <c r="D217" s="31"/>
      <c r="E217" s="9"/>
      <c r="F217" s="157" t="s">
        <v>638</v>
      </c>
      <c r="G217" s="157" t="s">
        <v>636</v>
      </c>
      <c r="H217" s="2"/>
      <c r="I217" s="2"/>
    </row>
    <row r="218" spans="1:10">
      <c r="A218" s="2"/>
      <c r="B218" s="11"/>
      <c r="C218" s="31" t="s">
        <v>239</v>
      </c>
      <c r="D218" s="31"/>
      <c r="E218" s="9"/>
      <c r="F218" s="25"/>
      <c r="G218" s="157"/>
      <c r="H218" s="2"/>
      <c r="I218" s="2"/>
    </row>
    <row r="219" spans="1:10">
      <c r="A219" s="2" t="s">
        <v>282</v>
      </c>
      <c r="B219" s="2" t="s">
        <v>282</v>
      </c>
      <c r="C219" s="31" t="s">
        <v>216</v>
      </c>
      <c r="D219" s="31">
        <v>1.5</v>
      </c>
      <c r="E219" s="9"/>
      <c r="F219" s="25"/>
      <c r="G219" s="11"/>
      <c r="H219" s="31">
        <v>1.5</v>
      </c>
      <c r="I219" s="2"/>
    </row>
    <row r="220" spans="1:10">
      <c r="A220" s="2" t="s">
        <v>283</v>
      </c>
      <c r="B220" s="2" t="s">
        <v>283</v>
      </c>
      <c r="C220" s="31" t="s">
        <v>217</v>
      </c>
      <c r="D220" s="31">
        <v>0.5</v>
      </c>
      <c r="E220" s="9"/>
      <c r="F220" s="25"/>
      <c r="G220" s="11"/>
      <c r="H220" s="31">
        <v>0.5</v>
      </c>
      <c r="I220" s="2"/>
    </row>
    <row r="221" spans="1:10">
      <c r="A221" s="2" t="s">
        <v>600</v>
      </c>
      <c r="B221" s="2" t="s">
        <v>284</v>
      </c>
      <c r="C221" s="31" t="s">
        <v>227</v>
      </c>
      <c r="D221" s="31">
        <f>-3*_alf1/_alf2 * (L.189 + q.1)^3</f>
        <v>-8179132.9651333056</v>
      </c>
      <c r="E221" s="9"/>
      <c r="F221" s="25"/>
      <c r="G221" s="11"/>
      <c r="H221" s="31">
        <f>-3*_alf1/_alf2 * (L.1 + q.1)^3</f>
        <v>-1240804.7638957785</v>
      </c>
      <c r="I221" s="2"/>
    </row>
    <row r="222" spans="1:10">
      <c r="A222" s="2"/>
      <c r="B222" s="11"/>
      <c r="C222" s="31"/>
      <c r="D222" s="31"/>
      <c r="E222" s="9"/>
      <c r="F222" s="25"/>
      <c r="G222" s="11"/>
      <c r="H222" s="2"/>
      <c r="I222" s="2"/>
    </row>
    <row r="223" spans="1:10">
      <c r="A223" s="2"/>
      <c r="B223" s="11"/>
      <c r="C223" s="31" t="s">
        <v>231</v>
      </c>
      <c r="D223" s="31"/>
      <c r="E223" s="9"/>
      <c r="F223" s="25"/>
      <c r="G223" s="11"/>
      <c r="H223" s="2"/>
      <c r="I223" s="2"/>
    </row>
    <row r="224" spans="1:10">
      <c r="A224" s="2" t="s">
        <v>285</v>
      </c>
      <c r="B224" s="2" t="s">
        <v>285</v>
      </c>
      <c r="C224" s="31" t="s">
        <v>219</v>
      </c>
      <c r="D224" s="31">
        <f xml:space="preserve"> (3*a.2 - a.1^2) / 9</f>
        <v>-8.3333333333333329E-2</v>
      </c>
      <c r="E224" s="9"/>
      <c r="F224" s="25"/>
      <c r="G224" s="11"/>
      <c r="H224" s="225">
        <f xml:space="preserve"> (3*a.2 - a.1^2) / 9</f>
        <v>-8.3333333333333329E-2</v>
      </c>
      <c r="I224" s="2"/>
    </row>
    <row r="225" spans="1:9">
      <c r="A225" s="2" t="s">
        <v>601</v>
      </c>
      <c r="B225" s="2" t="s">
        <v>286</v>
      </c>
      <c r="C225" s="31" t="s">
        <v>218</v>
      </c>
      <c r="D225" s="31">
        <f xml:space="preserve"> (9*a.1*a.2 - 27*a.389 - 2*a.1^3) / 54</f>
        <v>4089566.4825666528</v>
      </c>
      <c r="E225" s="9"/>
      <c r="F225" s="25"/>
      <c r="G225" s="11"/>
      <c r="H225" s="31">
        <f xml:space="preserve"> (9*a.1*a.2 - 27*a.3 - 2*a.1^3) / 54</f>
        <v>620402.38194788923</v>
      </c>
      <c r="I225" s="2"/>
    </row>
    <row r="226" spans="1:9">
      <c r="A226" s="2" t="s">
        <v>602</v>
      </c>
      <c r="B226" s="2" t="s">
        <v>287</v>
      </c>
      <c r="C226" s="59" t="s">
        <v>220</v>
      </c>
      <c r="D226" s="31">
        <f xml:space="preserve"> SQRT(qa^3 + ra.89^2)</f>
        <v>4089566.4825666528</v>
      </c>
      <c r="E226" s="9"/>
      <c r="F226" s="25"/>
      <c r="G226" s="11"/>
      <c r="H226" s="31">
        <f xml:space="preserve"> SQRT(qa^3 + ra^2)</f>
        <v>620402.38194788876</v>
      </c>
      <c r="I226" s="2"/>
    </row>
    <row r="227" spans="1:9">
      <c r="A227" s="2"/>
      <c r="B227" s="11"/>
      <c r="C227" s="59"/>
      <c r="D227" s="31"/>
      <c r="E227" s="9"/>
      <c r="F227" s="25"/>
      <c r="G227" s="11"/>
      <c r="H227" s="2"/>
      <c r="I227" s="2"/>
    </row>
    <row r="228" spans="1:9">
      <c r="A228" s="2"/>
      <c r="B228" s="11"/>
      <c r="C228" s="31" t="s">
        <v>221</v>
      </c>
      <c r="D228" s="31"/>
      <c r="E228" s="9"/>
      <c r="F228" s="25"/>
      <c r="G228" s="11"/>
      <c r="H228" s="2"/>
      <c r="I228" s="2"/>
    </row>
    <row r="229" spans="1:9">
      <c r="A229" s="2" t="s">
        <v>603</v>
      </c>
      <c r="B229" s="2" t="s">
        <v>288</v>
      </c>
      <c r="C229" s="31" t="s">
        <v>222</v>
      </c>
      <c r="D229" s="31">
        <f xml:space="preserve"> (ra.89 + da.89)^(1/3)</f>
        <v>201.48176939480589</v>
      </c>
      <c r="E229" s="9"/>
      <c r="F229" s="25"/>
      <c r="G229" s="11"/>
      <c r="H229" s="31">
        <f xml:space="preserve"> (ra + da)^(1/3)</f>
        <v>107.45694367722979</v>
      </c>
      <c r="I229" s="2"/>
    </row>
    <row r="230" spans="1:9">
      <c r="A230" s="2" t="s">
        <v>604</v>
      </c>
      <c r="B230" s="2" t="s">
        <v>289</v>
      </c>
      <c r="C230" s="31" t="s">
        <v>223</v>
      </c>
      <c r="D230" s="31">
        <f xml:space="preserve"> (ra.89 - da.89)^(1/3)</f>
        <v>0</v>
      </c>
      <c r="E230" s="9"/>
      <c r="F230" s="25"/>
      <c r="G230" s="11"/>
      <c r="H230" s="31">
        <f xml:space="preserve"> (ra - da)^(1/3)</f>
        <v>7.7509816990634756E-4</v>
      </c>
      <c r="I230" s="2"/>
    </row>
    <row r="231" spans="1:9">
      <c r="A231" s="2" t="s">
        <v>605</v>
      </c>
      <c r="B231" s="2" t="s">
        <v>234</v>
      </c>
      <c r="C231" s="31" t="s">
        <v>293</v>
      </c>
      <c r="D231" s="31">
        <f xml:space="preserve"> INT(sa.89 + ta.89 - a.1/3 - q.2)</f>
        <v>169</v>
      </c>
      <c r="E231" s="9"/>
      <c r="F231" s="38"/>
      <c r="G231" s="157" t="s">
        <v>225</v>
      </c>
      <c r="H231" s="31">
        <f xml:space="preserve"> INT(sa + ta - a.1/3 - q.2)</f>
        <v>75</v>
      </c>
      <c r="I231" s="2"/>
    </row>
    <row r="232" spans="1:9">
      <c r="A232" s="2" t="s">
        <v>606</v>
      </c>
      <c r="B232" s="2" t="s">
        <v>235</v>
      </c>
      <c r="C232" s="22" t="s">
        <v>291</v>
      </c>
      <c r="D232" s="22">
        <f xml:space="preserve"> INT( SQRT(2*_alf2/_alf3*(L.289 + q.2)^2 + 0.25) - 0.5 - q.3 )</f>
        <v>272</v>
      </c>
      <c r="E232" s="9"/>
      <c r="F232" s="157" t="s">
        <v>639</v>
      </c>
      <c r="G232" s="157" t="s">
        <v>224</v>
      </c>
      <c r="H232" s="22">
        <f xml:space="preserve"> INT( SQRT(2*_alf2/alf3o*(L.2+q.2)^2 + 0.25) - 0.5 - q.3 )</f>
        <v>128</v>
      </c>
      <c r="I232" s="2"/>
    </row>
    <row r="233" spans="1:9">
      <c r="A233" s="2" t="s">
        <v>607</v>
      </c>
      <c r="B233" s="2" t="s">
        <v>236</v>
      </c>
      <c r="C233" s="23" t="s">
        <v>292</v>
      </c>
      <c r="D233" s="23">
        <f xml:space="preserve"> INT( _alf3*(L.389 + q.3) - q.4 )</f>
        <v>293</v>
      </c>
      <c r="E233" s="9"/>
      <c r="F233" s="157" t="s">
        <v>588</v>
      </c>
      <c r="G233" s="157" t="s">
        <v>226</v>
      </c>
      <c r="H233" s="23">
        <f xml:space="preserve"> INT( alf3o*(L.3 + q.3) - q.4 )</f>
        <v>147</v>
      </c>
      <c r="I233" s="261">
        <f>(L.489-L.4)/L.489*100</f>
        <v>49.829351535836174</v>
      </c>
    </row>
    <row r="234" spans="1:9">
      <c r="A234" s="2"/>
      <c r="B234" s="11"/>
      <c r="C234" s="2"/>
      <c r="D234" s="2"/>
      <c r="E234" s="9"/>
      <c r="F234" s="157"/>
      <c r="G234" s="11"/>
      <c r="H234" s="2"/>
      <c r="I234" s="2"/>
    </row>
    <row r="235" spans="1:9">
      <c r="A235" s="2"/>
      <c r="B235" s="11"/>
      <c r="C235" s="2"/>
      <c r="D235" s="2"/>
      <c r="E235" s="9"/>
      <c r="F235" s="157"/>
      <c r="G235" s="11"/>
      <c r="H235" s="2"/>
      <c r="I235" s="2"/>
    </row>
    <row r="236" spans="1:9">
      <c r="A236" s="2" t="s">
        <v>608</v>
      </c>
      <c r="B236" s="2" t="s">
        <v>228</v>
      </c>
      <c r="C236" s="17" t="s">
        <v>296</v>
      </c>
      <c r="D236" s="2">
        <f xml:space="preserve"> (_alf1*(L.189 + q.1)^3 + _alf2*(L.289 + q.2)^2 + _alf3*(L.389 + q.3) + EXP((1-2*k)*(L.489 + q.4)/(3*q.4)) ) / WN.0 - 1</f>
        <v>75.581188122170715</v>
      </c>
      <c r="E236" s="9"/>
      <c r="F236" s="157"/>
      <c r="G236" s="157" t="s">
        <v>230</v>
      </c>
      <c r="H236" s="17">
        <f xml:space="preserve"> (_alf1*(L.1+q.1)^3 + _alf2*(L.2+q.2)^2 + alf3o*(L.3+q.3) + EXP((1-2*k)*(L.4+q.4)/(3*q.4)) ) / wgx - 1</f>
        <v>22.472018522203676</v>
      </c>
      <c r="I236" s="2"/>
    </row>
    <row r="237" spans="1:9">
      <c r="A237" s="2"/>
      <c r="B237" s="2" t="s">
        <v>229</v>
      </c>
      <c r="C237" s="18" t="s">
        <v>635</v>
      </c>
      <c r="D237" s="163"/>
      <c r="E237" s="9"/>
      <c r="F237" s="157"/>
      <c r="G237" s="11"/>
      <c r="H237" s="18">
        <f xml:space="preserve"> 1 - Q*(2 - k)*(1 - kappa)</f>
        <v>1</v>
      </c>
      <c r="I237" s="18"/>
    </row>
    <row r="238" spans="1:9">
      <c r="A238" s="2"/>
      <c r="B238" s="11"/>
      <c r="C238" s="2" t="s">
        <v>242</v>
      </c>
      <c r="D238" s="2">
        <f>1*( ag*N/(N + 2) + bg*SQRT(N * (N - 2)) )</f>
        <v>0</v>
      </c>
      <c r="E238" s="9"/>
      <c r="F238" s="157"/>
      <c r="G238" s="157" t="s">
        <v>158</v>
      </c>
      <c r="H238" s="2">
        <f xml:space="preserve"> temp2*( agx*N/(N + 2) + bgx*SQRT(N * (N - 2)) )</f>
        <v>0</v>
      </c>
      <c r="I238" s="2"/>
    </row>
    <row r="239" spans="1:9">
      <c r="A239" s="2"/>
      <c r="B239" s="11"/>
      <c r="C239" s="2" t="s">
        <v>240</v>
      </c>
      <c r="D239" s="57" t="str">
        <f>IF(D238&gt;temp189,"Diese Resonanz ist nicht mehr zugelassen!","zugelassen")</f>
        <v>zugelassen</v>
      </c>
      <c r="E239" s="9"/>
      <c r="F239" s="25"/>
      <c r="G239" s="11"/>
      <c r="H239" s="58" t="str">
        <f>IF(fn&gt;temp1,"Dieser Wert ist zu hoch!","")</f>
        <v/>
      </c>
      <c r="I239" s="2"/>
    </row>
    <row r="240" spans="1:9">
      <c r="A240" s="2"/>
      <c r="B240" s="11"/>
      <c r="C240" s="2"/>
      <c r="D240" s="2"/>
      <c r="E240" s="9"/>
      <c r="F240" s="25"/>
      <c r="G240" s="11"/>
      <c r="H240" s="2"/>
      <c r="I240" s="2"/>
    </row>
    <row r="241" spans="1:9">
      <c r="A241" s="2"/>
      <c r="B241" s="11"/>
      <c r="C241" s="2"/>
      <c r="D241" s="2"/>
      <c r="E241" s="9"/>
      <c r="F241" s="25"/>
      <c r="G241" s="11"/>
      <c r="H241" s="2"/>
      <c r="I241" s="2"/>
    </row>
    <row r="242" spans="1:9">
      <c r="A242" s="2"/>
      <c r="B242" s="11"/>
      <c r="C242" s="42" t="s">
        <v>630</v>
      </c>
      <c r="D242" s="21"/>
      <c r="E242" s="56"/>
      <c r="F242" s="158"/>
      <c r="G242" s="11"/>
      <c r="H242" s="2"/>
      <c r="I242" s="2"/>
    </row>
    <row r="243" spans="1:9">
      <c r="A243" s="2"/>
      <c r="B243" s="11"/>
      <c r="C243" s="60" t="s">
        <v>629</v>
      </c>
      <c r="D243" s="2"/>
      <c r="E243" s="9"/>
      <c r="F243" s="25"/>
      <c r="G243" s="11"/>
      <c r="H243" s="2"/>
      <c r="I243" s="2"/>
    </row>
    <row r="244" spans="1:9">
      <c r="A244" s="2"/>
      <c r="B244" s="11"/>
      <c r="C244" s="60" t="s">
        <v>622</v>
      </c>
      <c r="D244" s="2"/>
      <c r="E244" s="9"/>
      <c r="F244" s="25"/>
      <c r="G244" s="11"/>
      <c r="H244" s="2"/>
      <c r="I244" s="2"/>
    </row>
    <row r="245" spans="1:9">
      <c r="A245" s="2"/>
      <c r="B245" s="11"/>
      <c r="C245" s="60" t="s">
        <v>616</v>
      </c>
      <c r="D245" s="2"/>
      <c r="E245" s="9"/>
      <c r="F245" s="25"/>
      <c r="G245" s="11" t="s">
        <v>613</v>
      </c>
      <c r="H245" s="2"/>
      <c r="I245" s="2"/>
    </row>
    <row r="246" spans="1:9">
      <c r="A246" s="2"/>
      <c r="B246" s="11"/>
      <c r="C246" s="60" t="s">
        <v>324</v>
      </c>
      <c r="D246" s="2"/>
      <c r="E246" s="9"/>
      <c r="F246" s="25"/>
      <c r="G246" s="11"/>
      <c r="H246" s="2"/>
      <c r="I246" s="2"/>
    </row>
    <row r="247" spans="1:9">
      <c r="A247" s="2"/>
      <c r="B247" s="11"/>
      <c r="C247" s="60" t="s">
        <v>623</v>
      </c>
      <c r="D247" s="2"/>
      <c r="E247" s="9"/>
      <c r="F247" s="25"/>
      <c r="G247" s="11"/>
      <c r="H247" s="2"/>
      <c r="I247" s="2"/>
    </row>
    <row r="248" spans="1:9">
      <c r="A248" s="2"/>
      <c r="B248" s="11"/>
      <c r="C248" s="60"/>
      <c r="D248" s="2"/>
      <c r="E248" s="9"/>
      <c r="F248" s="25"/>
      <c r="G248" s="11"/>
      <c r="H248" s="2"/>
      <c r="I248" s="2"/>
    </row>
    <row r="249" spans="1:9">
      <c r="A249" s="2"/>
      <c r="B249" s="11"/>
      <c r="C249" s="60" t="s">
        <v>631</v>
      </c>
      <c r="D249" s="2"/>
      <c r="E249" s="9"/>
      <c r="F249" s="25"/>
      <c r="G249" s="11"/>
      <c r="H249" s="2"/>
      <c r="I249" s="2"/>
    </row>
    <row r="250" spans="1:9">
      <c r="A250" s="2"/>
      <c r="B250" s="11"/>
      <c r="C250" s="60"/>
      <c r="D250" s="2"/>
      <c r="E250" s="9"/>
      <c r="F250" s="25"/>
      <c r="G250" s="11"/>
      <c r="H250" s="2"/>
      <c r="I250" s="2"/>
    </row>
    <row r="251" spans="1:9">
      <c r="A251" s="2"/>
      <c r="B251" s="11"/>
      <c r="C251" s="2" t="s">
        <v>625</v>
      </c>
      <c r="D251" s="2">
        <f>fakMeV*amu*alfpn*(0*mSn + 0*mGn + 0*mFn + mFin) *1000</f>
        <v>2139.8252008583331</v>
      </c>
      <c r="E251" s="9" t="s">
        <v>624</v>
      </c>
      <c r="F251" s="157" t="s">
        <v>628</v>
      </c>
      <c r="G251" s="11"/>
      <c r="H251" s="2"/>
      <c r="I251" s="2"/>
    </row>
    <row r="252" spans="1:9">
      <c r="A252" s="2"/>
      <c r="B252" s="11"/>
      <c r="C252" s="60"/>
      <c r="D252" s="2"/>
      <c r="E252" s="9"/>
      <c r="F252" s="25"/>
      <c r="G252" s="11"/>
      <c r="H252" s="2"/>
      <c r="I252" s="2"/>
    </row>
    <row r="253" spans="1:9">
      <c r="A253" s="2"/>
      <c r="B253" s="11"/>
      <c r="C253" s="60"/>
      <c r="D253" s="2"/>
      <c r="E253" s="9"/>
      <c r="F253" s="25"/>
      <c r="G253" s="11"/>
      <c r="H253" s="2"/>
      <c r="I253" s="2"/>
    </row>
    <row r="254" spans="1:9">
      <c r="A254" s="2"/>
      <c r="B254" s="11"/>
      <c r="C254" s="242" t="s">
        <v>491</v>
      </c>
      <c r="D254" s="2"/>
      <c r="E254" s="9"/>
      <c r="F254" s="25"/>
      <c r="G254" s="11"/>
      <c r="H254" s="2"/>
      <c r="I254" s="2"/>
    </row>
    <row r="255" spans="1:9">
      <c r="A255" s="2"/>
      <c r="B255" s="11"/>
      <c r="C255" s="243" t="s">
        <v>626</v>
      </c>
      <c r="D255" s="6"/>
      <c r="E255" s="190"/>
      <c r="F255" s="241"/>
      <c r="G255" s="191"/>
      <c r="H255" s="6"/>
      <c r="I255" s="2"/>
    </row>
    <row r="256" spans="1:9">
      <c r="A256" s="2"/>
      <c r="B256" s="11"/>
      <c r="C256" s="244" t="s">
        <v>627</v>
      </c>
      <c r="D256" s="6"/>
      <c r="E256" s="190"/>
      <c r="F256" s="241"/>
      <c r="G256" s="191"/>
      <c r="H256" s="6"/>
      <c r="I256" s="2"/>
    </row>
    <row r="257" spans="1:9">
      <c r="A257" s="2"/>
      <c r="B257" s="11"/>
      <c r="C257" s="240" t="s">
        <v>316</v>
      </c>
      <c r="D257" s="6"/>
      <c r="E257" s="190"/>
      <c r="F257" s="241"/>
      <c r="G257" s="191"/>
      <c r="H257" s="6"/>
      <c r="I257" s="2"/>
    </row>
    <row r="258" spans="1:9">
      <c r="A258" s="2"/>
      <c r="B258" s="11"/>
      <c r="C258" s="240" t="s">
        <v>614</v>
      </c>
      <c r="D258" s="6"/>
      <c r="E258" s="190"/>
      <c r="F258" s="241"/>
      <c r="G258" s="191"/>
      <c r="H258" s="6"/>
      <c r="I258" s="2"/>
    </row>
    <row r="259" spans="1:9">
      <c r="A259" s="2"/>
      <c r="B259" s="11"/>
      <c r="C259" s="240"/>
      <c r="D259" s="6"/>
      <c r="E259" s="190"/>
      <c r="F259" s="241"/>
      <c r="G259" s="191"/>
      <c r="H259" s="6"/>
      <c r="I259" s="2"/>
    </row>
    <row r="260" spans="1:9">
      <c r="A260" s="2"/>
      <c r="B260" s="11"/>
      <c r="C260" s="6" t="s">
        <v>320</v>
      </c>
      <c r="D260" s="8">
        <f>amu*fakMeV*alfp*(fik)</f>
        <v>0.10049203947903396</v>
      </c>
      <c r="E260" s="37" t="s">
        <v>174</v>
      </c>
      <c r="F260" s="187"/>
      <c r="G260" s="187" t="s">
        <v>615</v>
      </c>
      <c r="H260" s="6"/>
      <c r="I260" s="2"/>
    </row>
    <row r="261" spans="1:9">
      <c r="A261" s="2"/>
      <c r="B261" s="11"/>
      <c r="C261" s="165" t="str">
        <f>IF(MOD((P+Q),2),"Neutrinomasse ist nur möglich, wenn P+Q geradzahlig!","")</f>
        <v/>
      </c>
      <c r="D261" s="6"/>
      <c r="E261" s="190"/>
      <c r="F261" s="241"/>
      <c r="G261" s="191"/>
      <c r="H261" s="6"/>
      <c r="I261" s="2"/>
    </row>
    <row r="262" spans="1:9">
      <c r="A262" s="2"/>
      <c r="B262" s="2"/>
      <c r="C262" s="2"/>
      <c r="D262" s="2"/>
      <c r="E262" s="9"/>
      <c r="F262" s="38"/>
      <c r="G262" s="2"/>
      <c r="H262" s="2"/>
      <c r="I262" s="2"/>
    </row>
  </sheetData>
  <mergeCells count="1">
    <mergeCell ref="D17:E17"/>
  </mergeCell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1" r:id="rId4" name="SpinButton1">
          <controlPr defaultSize="0" autoLine="0" linkedCell="D16" r:id="rId5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4</xdr:col>
                <xdr:colOff>857250</xdr:colOff>
                <xdr:row>16</xdr:row>
                <xdr:rowOff>0</xdr:rowOff>
              </to>
            </anchor>
          </controlPr>
        </control>
      </mc:Choice>
      <mc:Fallback>
        <control shapeId="2051" r:id="rId4" name="Spin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ECB2131-704C-4D17-B0F2-ACF78285F12F}">
          <x14:formula1>
            <xm:f>Tabellen!$B$6:$B$44</xm:f>
          </x14:formula1>
          <xm:sqref>D16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5"/>
  <dimension ref="A1:AH103"/>
  <sheetViews>
    <sheetView topLeftCell="C1" workbookViewId="0">
      <pane xSplit="9" ySplit="5" topLeftCell="L6" activePane="bottomRight" state="frozen"/>
      <selection activeCell="C1" sqref="C1"/>
      <selection pane="topRight" activeCell="L1" sqref="L1"/>
      <selection pane="bottomLeft" activeCell="C6" sqref="C6"/>
      <selection pane="bottomRight" activeCell="AF11" sqref="AF11"/>
    </sheetView>
  </sheetViews>
  <sheetFormatPr baseColWidth="10" defaultRowHeight="12.75"/>
  <cols>
    <col min="1" max="1" width="5.140625" customWidth="1"/>
    <col min="2" max="2" width="4.5703125" customWidth="1"/>
    <col min="3" max="3" width="19.7109375" style="39" customWidth="1"/>
    <col min="4" max="4" width="3.28515625" customWidth="1"/>
    <col min="5" max="5" width="4" customWidth="1"/>
    <col min="6" max="6" width="3.5703125" customWidth="1"/>
    <col min="7" max="7" width="6.7109375" customWidth="1"/>
    <col min="8" max="8" width="2.42578125" customWidth="1"/>
    <col min="9" max="10" width="3.140625" customWidth="1"/>
    <col min="11" max="11" width="6" customWidth="1"/>
    <col min="12" max="12" width="7.42578125" customWidth="1"/>
    <col min="13" max="13" width="11.42578125" customWidth="1"/>
    <col min="14" max="14" width="11.85546875" customWidth="1"/>
    <col min="15" max="15" width="5.42578125" customWidth="1"/>
    <col min="16" max="17" width="12.85546875" customWidth="1"/>
    <col min="18" max="18" width="11.42578125" customWidth="1"/>
    <col min="19" max="19" width="4.140625" customWidth="1"/>
    <col min="20" max="20" width="26" customWidth="1"/>
    <col min="21" max="21" width="21.5703125" customWidth="1"/>
    <col min="22" max="22" width="22.42578125" customWidth="1"/>
    <col min="23" max="24" width="15" customWidth="1"/>
    <col min="25" max="25" width="8.28515625" customWidth="1"/>
    <col min="26" max="28" width="11.42578125" customWidth="1"/>
    <col min="29" max="29" width="14.5703125" customWidth="1"/>
    <col min="30" max="30" width="18.140625" customWidth="1"/>
    <col min="32" max="32" width="11.5703125" customWidth="1"/>
    <col min="33" max="33" width="41.28515625" bestFit="1" customWidth="1"/>
    <col min="34" max="34" width="64" bestFit="1" customWidth="1"/>
  </cols>
  <sheetData>
    <row r="1" spans="1:34">
      <c r="A1" s="2"/>
      <c r="B1" s="2"/>
      <c r="C1" s="38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>
      <c r="A2" s="2"/>
      <c r="B2" s="2"/>
      <c r="C2" s="38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>
      <c r="A3" s="2"/>
      <c r="B3" s="4" t="s">
        <v>243</v>
      </c>
      <c r="C3" s="38"/>
      <c r="D3" s="2"/>
      <c r="E3" s="2"/>
      <c r="F3" s="2"/>
      <c r="G3" s="2"/>
      <c r="H3" s="2"/>
      <c r="I3" s="2"/>
      <c r="J3" s="2"/>
      <c r="K3" s="2"/>
      <c r="L3" s="2"/>
      <c r="M3" s="4" t="s">
        <v>244</v>
      </c>
      <c r="N3" s="2"/>
      <c r="O3" s="2"/>
      <c r="P3" s="4" t="s">
        <v>245</v>
      </c>
      <c r="Q3" s="4" t="s">
        <v>595</v>
      </c>
      <c r="R3" s="2"/>
      <c r="S3" s="4" t="s">
        <v>246</v>
      </c>
      <c r="T3" s="2"/>
      <c r="U3" s="2"/>
      <c r="V3" s="2"/>
      <c r="W3" s="2"/>
      <c r="X3" s="2"/>
      <c r="Y3" s="2"/>
      <c r="Z3" s="2"/>
      <c r="AA3" s="4" t="s">
        <v>738</v>
      </c>
      <c r="AB3" s="2"/>
      <c r="AC3" s="2"/>
      <c r="AD3" s="4" t="s">
        <v>802</v>
      </c>
      <c r="AE3" s="2"/>
      <c r="AF3" s="2"/>
      <c r="AG3" s="2"/>
      <c r="AH3" s="2"/>
    </row>
    <row r="4" spans="1:34">
      <c r="A4" s="2"/>
      <c r="B4" s="4" t="s">
        <v>247</v>
      </c>
      <c r="C4" s="38"/>
      <c r="D4" s="2"/>
      <c r="E4" s="2"/>
      <c r="F4" s="2"/>
      <c r="G4" s="2"/>
      <c r="H4" s="2"/>
      <c r="I4" s="2"/>
      <c r="J4" s="2"/>
      <c r="K4" s="2"/>
      <c r="L4" s="2"/>
      <c r="M4" s="4" t="s">
        <v>322</v>
      </c>
      <c r="N4" s="4"/>
      <c r="O4" s="2"/>
      <c r="P4" s="4">
        <v>1982</v>
      </c>
      <c r="Q4" s="4">
        <v>1989</v>
      </c>
      <c r="R4" s="2"/>
      <c r="S4" s="2"/>
      <c r="T4" s="2"/>
      <c r="U4" s="2"/>
      <c r="V4" s="2"/>
      <c r="W4" s="2"/>
      <c r="X4" s="2"/>
      <c r="Y4" s="2"/>
      <c r="Z4" s="2"/>
      <c r="AA4" s="4" t="s">
        <v>782</v>
      </c>
      <c r="AB4" s="4"/>
      <c r="AC4" s="2"/>
      <c r="AD4" s="4" t="s">
        <v>790</v>
      </c>
      <c r="AE4" s="4"/>
      <c r="AF4" s="2"/>
      <c r="AG4" s="2"/>
      <c r="AH4" s="2"/>
    </row>
    <row r="5" spans="1:34">
      <c r="A5" s="2"/>
      <c r="B5" s="61" t="s">
        <v>248</v>
      </c>
      <c r="C5" s="62" t="s">
        <v>249</v>
      </c>
      <c r="D5" s="63" t="s">
        <v>52</v>
      </c>
      <c r="E5" s="63" t="s">
        <v>93</v>
      </c>
      <c r="F5" s="63" t="s">
        <v>94</v>
      </c>
      <c r="G5" s="63" t="s">
        <v>53</v>
      </c>
      <c r="H5" s="63" t="s">
        <v>12</v>
      </c>
      <c r="I5" s="63" t="s">
        <v>61</v>
      </c>
      <c r="J5" s="63" t="s">
        <v>64</v>
      </c>
      <c r="K5" s="64" t="s">
        <v>310</v>
      </c>
      <c r="L5" s="2"/>
      <c r="M5" s="61" t="s">
        <v>278</v>
      </c>
      <c r="N5" s="64" t="s">
        <v>171</v>
      </c>
      <c r="O5" s="2"/>
      <c r="P5" s="65" t="s">
        <v>598</v>
      </c>
      <c r="Q5" s="65" t="s">
        <v>598</v>
      </c>
      <c r="R5" s="2"/>
      <c r="S5" s="61" t="s">
        <v>248</v>
      </c>
      <c r="T5" s="66" t="s">
        <v>250</v>
      </c>
      <c r="U5" s="67" t="s">
        <v>120</v>
      </c>
      <c r="V5" s="68" t="s">
        <v>121</v>
      </c>
      <c r="W5" s="67" t="s">
        <v>51</v>
      </c>
      <c r="X5" s="68" t="s">
        <v>50</v>
      </c>
      <c r="Y5" s="2"/>
      <c r="Z5" s="2"/>
      <c r="AA5" s="61" t="s">
        <v>278</v>
      </c>
      <c r="AB5" s="64" t="s">
        <v>171</v>
      </c>
      <c r="AC5" s="2"/>
      <c r="AD5" s="61" t="s">
        <v>278</v>
      </c>
      <c r="AE5" s="64" t="s">
        <v>171</v>
      </c>
      <c r="AF5" s="2"/>
      <c r="AG5" s="2"/>
      <c r="AH5" s="2"/>
    </row>
    <row r="6" spans="1:34">
      <c r="A6" s="2"/>
      <c r="B6" s="131">
        <v>1</v>
      </c>
      <c r="C6" s="70" t="s">
        <v>740</v>
      </c>
      <c r="D6" s="71">
        <v>1</v>
      </c>
      <c r="E6" s="71">
        <v>0</v>
      </c>
      <c r="F6" s="71">
        <v>0</v>
      </c>
      <c r="G6" s="71">
        <v>0</v>
      </c>
      <c r="H6" s="71">
        <v>1</v>
      </c>
      <c r="I6" s="72">
        <v>0</v>
      </c>
      <c r="J6" s="72">
        <v>0</v>
      </c>
      <c r="K6" s="73">
        <v>2488</v>
      </c>
      <c r="L6" s="51"/>
      <c r="M6" s="74">
        <v>547.75</v>
      </c>
      <c r="N6" s="75">
        <v>0.12</v>
      </c>
      <c r="O6" s="2"/>
      <c r="P6" s="76">
        <v>236372</v>
      </c>
      <c r="Q6" s="223">
        <v>236369.06612009878</v>
      </c>
      <c r="R6" s="2"/>
      <c r="S6" s="77">
        <v>1</v>
      </c>
      <c r="T6" s="78" t="s">
        <v>271</v>
      </c>
      <c r="U6" s="125">
        <f>Konstante!C32</f>
        <v>7.2973545975647232E-3</v>
      </c>
      <c r="V6" s="126">
        <f>Konstante!C31</f>
        <v>0.99997337395346553</v>
      </c>
      <c r="W6" s="79">
        <f t="shared" ref="W6:X11" si="0">1/U6</f>
        <v>137.03596099519689</v>
      </c>
      <c r="X6" s="80">
        <f t="shared" si="0"/>
        <v>1.0000266267554998</v>
      </c>
      <c r="Y6" s="2"/>
      <c r="Z6" s="2"/>
      <c r="AA6" s="74">
        <v>547.85299999999995</v>
      </c>
      <c r="AB6" s="342" t="s">
        <v>758</v>
      </c>
      <c r="AC6" s="2" t="s">
        <v>783</v>
      </c>
      <c r="AD6" s="280">
        <v>5.0000000000000004E-19</v>
      </c>
      <c r="AE6" s="281" t="s">
        <v>761</v>
      </c>
      <c r="AF6" s="17" t="s">
        <v>783</v>
      </c>
      <c r="AG6" s="2" t="s">
        <v>791</v>
      </c>
      <c r="AH6" s="2"/>
    </row>
    <row r="7" spans="1:34">
      <c r="A7" s="2"/>
      <c r="B7" s="131">
        <v>2</v>
      </c>
      <c r="C7" s="70" t="s">
        <v>741</v>
      </c>
      <c r="D7" s="81">
        <v>1</v>
      </c>
      <c r="E7" s="81">
        <v>1</v>
      </c>
      <c r="F7" s="81">
        <v>0</v>
      </c>
      <c r="G7" s="81">
        <v>1</v>
      </c>
      <c r="H7" s="81">
        <v>1</v>
      </c>
      <c r="I7" s="82">
        <v>1</v>
      </c>
      <c r="J7" s="82">
        <v>1</v>
      </c>
      <c r="K7" s="83">
        <v>6630</v>
      </c>
      <c r="L7" s="51"/>
      <c r="M7" s="84">
        <v>493.67700000000002</v>
      </c>
      <c r="N7" s="85">
        <v>1.6E-2</v>
      </c>
      <c r="O7" s="2"/>
      <c r="P7" s="86">
        <v>212629.83556901867</v>
      </c>
      <c r="Q7" s="86">
        <v>212641.75935043444</v>
      </c>
      <c r="R7" s="2"/>
      <c r="S7" s="77">
        <v>2</v>
      </c>
      <c r="T7" s="78" t="s">
        <v>251</v>
      </c>
      <c r="U7" s="125">
        <v>7.2973510720000002E-3</v>
      </c>
      <c r="V7" s="126">
        <v>0.99998589019999995</v>
      </c>
      <c r="W7" s="79">
        <f t="shared" si="0"/>
        <v>137.03602720129621</v>
      </c>
      <c r="X7" s="80">
        <f t="shared" si="0"/>
        <v>1.0000141099990894</v>
      </c>
      <c r="Y7" s="2"/>
      <c r="Z7" s="2"/>
      <c r="AA7" s="84">
        <v>493.67700000000002</v>
      </c>
      <c r="AB7" s="343" t="s">
        <v>805</v>
      </c>
      <c r="AC7" s="2" t="s">
        <v>783</v>
      </c>
      <c r="AD7" s="344">
        <v>1.2380000000000001E-8</v>
      </c>
      <c r="AE7" s="343" t="s">
        <v>562</v>
      </c>
      <c r="AF7" s="17" t="s">
        <v>783</v>
      </c>
      <c r="AG7" s="2" t="s">
        <v>791</v>
      </c>
      <c r="AH7" s="2"/>
    </row>
    <row r="8" spans="1:34">
      <c r="A8" s="2"/>
      <c r="B8" s="338">
        <v>3</v>
      </c>
      <c r="C8" s="88" t="s">
        <v>742</v>
      </c>
      <c r="D8" s="89">
        <v>1</v>
      </c>
      <c r="E8" s="89">
        <v>1</v>
      </c>
      <c r="F8" s="89">
        <v>0</v>
      </c>
      <c r="G8" s="89">
        <v>1</v>
      </c>
      <c r="H8" s="89">
        <v>2</v>
      </c>
      <c r="I8" s="90">
        <v>0</v>
      </c>
      <c r="J8" s="90">
        <v>1</v>
      </c>
      <c r="K8" s="91">
        <v>7052</v>
      </c>
      <c r="L8" s="51"/>
      <c r="M8" s="92">
        <v>497.64800000000002</v>
      </c>
      <c r="N8" s="93">
        <v>2.1999999999999999E-2</v>
      </c>
      <c r="O8" s="2"/>
      <c r="P8" s="94">
        <v>214348.84179559036</v>
      </c>
      <c r="Q8" s="94">
        <v>214370.1083077908</v>
      </c>
      <c r="R8" s="2"/>
      <c r="S8" s="77">
        <v>3</v>
      </c>
      <c r="T8" s="78" t="s">
        <v>252</v>
      </c>
      <c r="U8" s="125">
        <v>7.2973525359999996E-3</v>
      </c>
      <c r="V8" s="126">
        <v>0.99998589019999995</v>
      </c>
      <c r="W8" s="79">
        <f t="shared" si="0"/>
        <v>137.03599970903201</v>
      </c>
      <c r="X8" s="80">
        <f t="shared" si="0"/>
        <v>1.0000141099990894</v>
      </c>
      <c r="Y8" s="2"/>
      <c r="Z8" s="2"/>
      <c r="AA8" s="92">
        <v>497.61399999999998</v>
      </c>
      <c r="AB8" s="93"/>
      <c r="AC8" s="2" t="s">
        <v>783</v>
      </c>
      <c r="AD8" s="283" t="s">
        <v>762</v>
      </c>
      <c r="AE8" s="93"/>
      <c r="AF8" s="2"/>
      <c r="AG8" s="2"/>
      <c r="AH8" s="2"/>
    </row>
    <row r="9" spans="1:34">
      <c r="A9" s="2"/>
      <c r="B9" s="131">
        <v>4</v>
      </c>
      <c r="C9" s="70" t="s">
        <v>4</v>
      </c>
      <c r="D9" s="71">
        <v>1</v>
      </c>
      <c r="E9" s="71">
        <v>1</v>
      </c>
      <c r="F9" s="71">
        <v>1</v>
      </c>
      <c r="G9" s="71">
        <v>0</v>
      </c>
      <c r="H9" s="71">
        <v>1</v>
      </c>
      <c r="I9" s="72">
        <v>0</v>
      </c>
      <c r="J9" s="72">
        <v>0</v>
      </c>
      <c r="K9" s="73">
        <v>0</v>
      </c>
      <c r="L9" s="51"/>
      <c r="M9" s="69"/>
      <c r="N9" s="174"/>
      <c r="O9" s="2"/>
      <c r="P9" s="176">
        <v>214.31529878458585</v>
      </c>
      <c r="Q9" s="98">
        <v>222.31547080158714</v>
      </c>
      <c r="R9" s="2"/>
      <c r="S9" s="77">
        <v>4</v>
      </c>
      <c r="T9" s="78" t="s">
        <v>253</v>
      </c>
      <c r="U9" s="125">
        <v>7.2973525332858903E-3</v>
      </c>
      <c r="V9" s="126">
        <v>0.99998589019908901</v>
      </c>
      <c r="W9" s="79">
        <f t="shared" si="0"/>
        <v>137.03599975999992</v>
      </c>
      <c r="X9" s="80">
        <f t="shared" si="0"/>
        <v>1.0000141100000002</v>
      </c>
      <c r="Y9" s="2"/>
      <c r="Z9" s="2"/>
      <c r="AA9" s="69"/>
      <c r="AB9" s="174"/>
      <c r="AC9" s="2"/>
      <c r="AD9" s="69"/>
      <c r="AE9" s="174"/>
      <c r="AF9" s="2"/>
      <c r="AG9" s="2"/>
      <c r="AH9" s="2"/>
    </row>
    <row r="10" spans="1:34">
      <c r="A10" s="2"/>
      <c r="B10" s="338">
        <v>5</v>
      </c>
      <c r="C10" s="88" t="s">
        <v>743</v>
      </c>
      <c r="D10" s="178">
        <v>1</v>
      </c>
      <c r="E10" s="178">
        <v>1</v>
      </c>
      <c r="F10" s="178">
        <v>1</v>
      </c>
      <c r="G10" s="178">
        <v>0</v>
      </c>
      <c r="H10" s="178">
        <v>2</v>
      </c>
      <c r="I10" s="179">
        <v>-1</v>
      </c>
      <c r="J10" s="179">
        <v>0</v>
      </c>
      <c r="K10" s="180">
        <v>0</v>
      </c>
      <c r="L10" s="51"/>
      <c r="M10" s="87">
        <v>0.51099892000000002</v>
      </c>
      <c r="N10" s="175">
        <v>4.0000000000000001E-8</v>
      </c>
      <c r="O10" s="2"/>
      <c r="P10" s="177">
        <v>216.07547247381945</v>
      </c>
      <c r="Q10" s="98">
        <v>218.31546613115802</v>
      </c>
      <c r="R10" s="2"/>
      <c r="S10" s="77">
        <v>5</v>
      </c>
      <c r="T10" s="78" t="s">
        <v>272</v>
      </c>
      <c r="U10" s="125">
        <f>Konstante!E32</f>
        <v>7.2973504154956069E-3</v>
      </c>
      <c r="V10" s="126">
        <f>Konstante!E31</f>
        <v>0.99997337398398434</v>
      </c>
      <c r="W10" s="79">
        <f t="shared" si="0"/>
        <v>137.03603952970977</v>
      </c>
      <c r="X10" s="80">
        <f t="shared" si="0"/>
        <v>1.0000266267249793</v>
      </c>
      <c r="Y10" s="2"/>
      <c r="Z10" s="2"/>
      <c r="AA10" s="87">
        <v>0.51099894609999996</v>
      </c>
      <c r="AB10" s="270" t="s">
        <v>757</v>
      </c>
      <c r="AC10" s="17" t="s">
        <v>734</v>
      </c>
      <c r="AD10" s="87"/>
      <c r="AE10" s="270"/>
      <c r="AF10" s="2"/>
      <c r="AG10" s="2"/>
      <c r="AH10" s="2"/>
    </row>
    <row r="11" spans="1:34">
      <c r="A11" s="2"/>
      <c r="B11" s="338">
        <v>6</v>
      </c>
      <c r="C11" s="88" t="s">
        <v>744</v>
      </c>
      <c r="D11" s="89">
        <v>1</v>
      </c>
      <c r="E11" s="89">
        <v>1</v>
      </c>
      <c r="F11" s="89">
        <v>1</v>
      </c>
      <c r="G11" s="89">
        <v>1</v>
      </c>
      <c r="H11" s="89">
        <v>1</v>
      </c>
      <c r="I11" s="90">
        <v>-1</v>
      </c>
      <c r="J11" s="90">
        <v>0</v>
      </c>
      <c r="K11" s="91">
        <v>3252</v>
      </c>
      <c r="L11" s="51"/>
      <c r="M11" s="120">
        <v>105.65836899999999</v>
      </c>
      <c r="N11" s="121">
        <v>9.0000000000000006E-5</v>
      </c>
      <c r="O11" s="2"/>
      <c r="P11" s="122">
        <v>45507.645679237146</v>
      </c>
      <c r="Q11" s="108">
        <v>45505.938106349196</v>
      </c>
      <c r="R11" s="2"/>
      <c r="S11" s="99">
        <v>6</v>
      </c>
      <c r="T11" s="149" t="s">
        <v>734</v>
      </c>
      <c r="U11" s="150">
        <v>7.2973525663999998E-3</v>
      </c>
      <c r="V11" s="150">
        <f>SQRT(1/2*(1+SQRT(1-4*U11^2)))</f>
        <v>0.99997337255024588</v>
      </c>
      <c r="W11" s="100">
        <f t="shared" si="0"/>
        <v>137.03599913815452</v>
      </c>
      <c r="X11" s="101">
        <f t="shared" si="0"/>
        <v>1.0000266281587942</v>
      </c>
      <c r="Y11" s="2"/>
      <c r="Z11" s="2"/>
      <c r="AA11" s="106">
        <v>105.65837449999999</v>
      </c>
      <c r="AB11" s="271" t="s">
        <v>758</v>
      </c>
      <c r="AC11" s="17" t="s">
        <v>734</v>
      </c>
      <c r="AD11" s="288">
        <v>2.1969810999999999E-6</v>
      </c>
      <c r="AE11" s="285" t="s">
        <v>765</v>
      </c>
      <c r="AF11" s="17" t="s">
        <v>783</v>
      </c>
      <c r="AG11" s="2" t="s">
        <v>806</v>
      </c>
      <c r="AH11" s="2"/>
    </row>
    <row r="12" spans="1:34">
      <c r="A12" s="2"/>
      <c r="B12" s="78">
        <v>7</v>
      </c>
      <c r="C12" s="95" t="s">
        <v>745</v>
      </c>
      <c r="D12">
        <v>1</v>
      </c>
      <c r="E12">
        <v>2</v>
      </c>
      <c r="F12">
        <v>0</v>
      </c>
      <c r="G12">
        <v>0</v>
      </c>
      <c r="H12">
        <v>1</v>
      </c>
      <c r="I12" s="96">
        <v>1</v>
      </c>
      <c r="J12" s="96">
        <v>0</v>
      </c>
      <c r="K12" s="97">
        <v>2578</v>
      </c>
      <c r="L12" s="51"/>
      <c r="M12" s="69">
        <v>134.97659999999999</v>
      </c>
      <c r="N12" s="174">
        <v>5.9999999999999995E-4</v>
      </c>
      <c r="O12" s="2"/>
      <c r="P12" s="176">
        <v>58128.628800930113</v>
      </c>
      <c r="Q12" s="98">
        <v>60110.550635329113</v>
      </c>
      <c r="R12" s="2"/>
      <c r="S12" s="2"/>
      <c r="T12" s="2"/>
      <c r="U12" s="2"/>
      <c r="V12" s="2"/>
      <c r="W12" s="2"/>
      <c r="X12" s="2"/>
      <c r="Y12" s="2"/>
      <c r="Z12" s="2"/>
      <c r="AA12" s="74">
        <v>139.57017999999999</v>
      </c>
      <c r="AB12" s="340" t="s">
        <v>803</v>
      </c>
      <c r="AC12" s="2" t="s">
        <v>783</v>
      </c>
      <c r="AD12" s="69">
        <v>2.6032999999999999E-8</v>
      </c>
      <c r="AE12" s="275" t="s">
        <v>760</v>
      </c>
      <c r="AF12" s="17" t="s">
        <v>783</v>
      </c>
      <c r="AG12" s="2" t="s">
        <v>791</v>
      </c>
      <c r="AH12" s="2"/>
    </row>
    <row r="13" spans="1:34">
      <c r="A13" s="2"/>
      <c r="B13" s="78">
        <v>8</v>
      </c>
      <c r="C13" s="95" t="s">
        <v>746</v>
      </c>
      <c r="D13">
        <v>1</v>
      </c>
      <c r="E13">
        <v>2</v>
      </c>
      <c r="F13">
        <v>0</v>
      </c>
      <c r="G13">
        <v>0</v>
      </c>
      <c r="H13">
        <v>2</v>
      </c>
      <c r="I13" s="96">
        <v>0</v>
      </c>
      <c r="J13" s="96">
        <v>0</v>
      </c>
      <c r="K13" s="97">
        <v>973</v>
      </c>
      <c r="L13" s="51"/>
      <c r="M13" s="87">
        <v>139.57017999999999</v>
      </c>
      <c r="N13" s="175">
        <v>3.5E-4</v>
      </c>
      <c r="O13" s="2"/>
      <c r="P13" s="177">
        <v>60111.702480660933</v>
      </c>
      <c r="Q13" s="98">
        <v>58127.509994271873</v>
      </c>
      <c r="R13" s="2"/>
      <c r="S13" s="2"/>
      <c r="T13" s="2"/>
      <c r="U13" s="2"/>
      <c r="V13" s="2"/>
      <c r="W13" s="2"/>
      <c r="X13" s="2"/>
      <c r="Y13" s="2"/>
      <c r="Z13" s="2"/>
      <c r="AA13" s="284">
        <v>134.97659999999999</v>
      </c>
      <c r="AB13" s="341" t="s">
        <v>804</v>
      </c>
      <c r="AC13" s="2" t="s">
        <v>783</v>
      </c>
      <c r="AD13" s="279">
        <v>8.3999999999999997E-17</v>
      </c>
      <c r="AE13" s="342" t="s">
        <v>804</v>
      </c>
      <c r="AF13" s="17" t="s">
        <v>783</v>
      </c>
      <c r="AG13" s="2" t="s">
        <v>791</v>
      </c>
      <c r="AH13" s="17" t="s">
        <v>799</v>
      </c>
    </row>
    <row r="14" spans="1:34">
      <c r="A14" s="2"/>
      <c r="B14" s="339">
        <v>9</v>
      </c>
      <c r="C14" s="102" t="s">
        <v>770</v>
      </c>
      <c r="D14" s="103">
        <v>2</v>
      </c>
      <c r="E14" s="103">
        <v>0</v>
      </c>
      <c r="F14" s="103">
        <v>1</v>
      </c>
      <c r="G14" s="103">
        <v>0</v>
      </c>
      <c r="H14" s="103">
        <v>1</v>
      </c>
      <c r="I14" s="104">
        <v>0</v>
      </c>
      <c r="J14" s="104">
        <v>-1</v>
      </c>
      <c r="K14" s="105">
        <v>1095</v>
      </c>
      <c r="L14" s="51"/>
      <c r="M14" s="106">
        <v>1115.683</v>
      </c>
      <c r="N14" s="107">
        <v>6.0000000000000001E-3</v>
      </c>
      <c r="O14" s="2"/>
      <c r="P14" s="108">
        <v>480490.7615789714</v>
      </c>
      <c r="Q14" s="108">
        <v>480490.58706096257</v>
      </c>
      <c r="R14" s="2"/>
      <c r="S14" s="4" t="s">
        <v>356</v>
      </c>
      <c r="T14" s="2"/>
      <c r="U14" s="2"/>
      <c r="V14" s="2"/>
      <c r="W14" s="2"/>
      <c r="X14" s="2"/>
      <c r="Y14" s="2"/>
      <c r="Z14" s="2"/>
      <c r="AA14" s="106">
        <v>1115.683</v>
      </c>
      <c r="AB14" s="107">
        <v>6.0000000000000001E-3</v>
      </c>
      <c r="AC14" s="2" t="s">
        <v>783</v>
      </c>
      <c r="AD14" s="287">
        <v>2.6319999999999998E-10</v>
      </c>
      <c r="AE14" s="290">
        <v>0.02</v>
      </c>
      <c r="AF14" s="17" t="s">
        <v>783</v>
      </c>
      <c r="AG14" s="2" t="s">
        <v>793</v>
      </c>
      <c r="AH14" s="17" t="s">
        <v>794</v>
      </c>
    </row>
    <row r="15" spans="1:34">
      <c r="A15" s="2"/>
      <c r="B15" s="78">
        <v>10</v>
      </c>
      <c r="C15" s="109" t="s">
        <v>784</v>
      </c>
      <c r="D15">
        <v>2</v>
      </c>
      <c r="E15">
        <v>0</v>
      </c>
      <c r="F15">
        <v>3</v>
      </c>
      <c r="G15">
        <v>0</v>
      </c>
      <c r="H15">
        <v>1</v>
      </c>
      <c r="I15" s="96">
        <v>-1</v>
      </c>
      <c r="J15" s="96">
        <v>-3</v>
      </c>
      <c r="K15" s="97">
        <v>2357</v>
      </c>
      <c r="L15" s="51"/>
      <c r="M15" s="74">
        <v>1672.45</v>
      </c>
      <c r="N15" s="75">
        <v>0.28999999999999998</v>
      </c>
      <c r="O15" s="2"/>
      <c r="P15" s="98">
        <v>720226.03874630795</v>
      </c>
      <c r="Q15" s="98">
        <v>720206.80737762828</v>
      </c>
      <c r="R15" s="2"/>
      <c r="S15" s="2"/>
      <c r="T15" s="2"/>
      <c r="U15" s="2"/>
      <c r="V15" s="2"/>
      <c r="W15" s="2"/>
      <c r="X15" s="2"/>
      <c r="Y15" s="2"/>
      <c r="Z15" s="2"/>
      <c r="AA15" s="74">
        <v>1672.45</v>
      </c>
      <c r="AB15" s="281" t="s">
        <v>771</v>
      </c>
      <c r="AC15" s="2" t="s">
        <v>783</v>
      </c>
      <c r="AD15" s="279">
        <v>8.2100000000000006E-11</v>
      </c>
      <c r="AE15" s="281" t="s">
        <v>772</v>
      </c>
      <c r="AF15" s="2" t="s">
        <v>783</v>
      </c>
      <c r="AG15" s="2" t="s">
        <v>798</v>
      </c>
      <c r="AH15" s="2"/>
    </row>
    <row r="16" spans="1:34">
      <c r="A16" s="2"/>
      <c r="B16" s="131">
        <v>11</v>
      </c>
      <c r="C16" s="110" t="s">
        <v>766</v>
      </c>
      <c r="D16" s="81">
        <v>2</v>
      </c>
      <c r="E16" s="81">
        <v>1</v>
      </c>
      <c r="F16" s="81">
        <v>1</v>
      </c>
      <c r="G16" s="81">
        <v>0</v>
      </c>
      <c r="H16" s="81">
        <v>1</v>
      </c>
      <c r="I16" s="82">
        <v>1</v>
      </c>
      <c r="J16" s="82">
        <v>0</v>
      </c>
      <c r="K16" s="83">
        <v>351</v>
      </c>
      <c r="L16" s="51"/>
      <c r="M16" s="84">
        <v>938.27202999999997</v>
      </c>
      <c r="N16" s="85">
        <v>8.0000000000000007E-5</v>
      </c>
      <c r="O16" s="2"/>
      <c r="P16" s="86">
        <v>404114.55203993618</v>
      </c>
      <c r="Q16" s="86">
        <v>404116.77648443484</v>
      </c>
      <c r="R16" s="2"/>
      <c r="S16" s="61" t="s">
        <v>248</v>
      </c>
      <c r="T16" s="66" t="s">
        <v>249</v>
      </c>
      <c r="U16" s="67" t="s">
        <v>254</v>
      </c>
      <c r="V16" s="111" t="s">
        <v>255</v>
      </c>
      <c r="W16" s="112"/>
      <c r="X16" s="112"/>
      <c r="Y16" s="113"/>
      <c r="Z16" s="2"/>
      <c r="AA16" s="273">
        <v>938.27208129999997</v>
      </c>
      <c r="AB16" s="272" t="s">
        <v>759</v>
      </c>
      <c r="AC16" s="17" t="s">
        <v>734</v>
      </c>
      <c r="AD16" s="273"/>
      <c r="AE16" s="272"/>
      <c r="AF16" s="2"/>
      <c r="AG16" s="2"/>
      <c r="AH16" s="2"/>
    </row>
    <row r="17" spans="1:34">
      <c r="A17" s="2"/>
      <c r="B17" s="338">
        <v>12</v>
      </c>
      <c r="C17" s="115" t="s">
        <v>767</v>
      </c>
      <c r="D17" s="89">
        <v>2</v>
      </c>
      <c r="E17" s="89">
        <v>1</v>
      </c>
      <c r="F17" s="89">
        <v>1</v>
      </c>
      <c r="G17" s="89">
        <v>0</v>
      </c>
      <c r="H17" s="89">
        <v>2</v>
      </c>
      <c r="I17" s="90">
        <v>0</v>
      </c>
      <c r="J17" s="90">
        <v>0</v>
      </c>
      <c r="K17" s="91">
        <v>386</v>
      </c>
      <c r="L17" s="51"/>
      <c r="M17" s="92">
        <v>939.56536000000006</v>
      </c>
      <c r="N17" s="93">
        <v>8.0000000000000007E-5</v>
      </c>
      <c r="O17" s="2"/>
      <c r="P17" s="94">
        <v>404675.69949684851</v>
      </c>
      <c r="Q17" s="94">
        <v>404675.65330329473</v>
      </c>
      <c r="R17" s="2"/>
      <c r="S17" s="74">
        <v>1</v>
      </c>
      <c r="T17" s="78" t="s">
        <v>363</v>
      </c>
      <c r="U17" s="1">
        <v>6.6732000000000003E-11</v>
      </c>
      <c r="V17" s="116" t="s">
        <v>344</v>
      </c>
      <c r="W17" s="114"/>
      <c r="X17" s="114"/>
      <c r="Y17" s="117"/>
      <c r="Z17" s="2"/>
      <c r="AA17" s="274">
        <v>939.56541330000005</v>
      </c>
      <c r="AB17" s="276" t="s">
        <v>759</v>
      </c>
      <c r="AC17" s="17" t="s">
        <v>734</v>
      </c>
      <c r="AD17" s="289">
        <v>881.5</v>
      </c>
      <c r="AE17" s="276" t="s">
        <v>768</v>
      </c>
      <c r="AF17" s="17" t="s">
        <v>783</v>
      </c>
      <c r="AG17" s="2" t="s">
        <v>795</v>
      </c>
      <c r="AH17" s="2"/>
    </row>
    <row r="18" spans="1:34">
      <c r="A18" s="2"/>
      <c r="B18" s="78">
        <v>13</v>
      </c>
      <c r="C18" s="109" t="s">
        <v>747</v>
      </c>
      <c r="D18">
        <v>2</v>
      </c>
      <c r="E18">
        <v>1</v>
      </c>
      <c r="F18">
        <v>1</v>
      </c>
      <c r="G18">
        <v>1</v>
      </c>
      <c r="H18">
        <v>1</v>
      </c>
      <c r="I18" s="96">
        <v>0</v>
      </c>
      <c r="J18" s="96">
        <v>-2</v>
      </c>
      <c r="K18" s="97">
        <v>6476</v>
      </c>
      <c r="L18" s="51"/>
      <c r="M18" s="74">
        <v>1314.82</v>
      </c>
      <c r="N18" s="75">
        <v>0.2</v>
      </c>
      <c r="O18" s="2"/>
      <c r="P18" s="98">
        <v>566280.12154311861</v>
      </c>
      <c r="Q18" s="98">
        <v>566330.33718309237</v>
      </c>
      <c r="R18" s="2"/>
      <c r="S18" s="74">
        <v>2</v>
      </c>
      <c r="T18" s="78" t="s">
        <v>273</v>
      </c>
      <c r="U18" s="1">
        <v>6.6723079999999998E-11</v>
      </c>
      <c r="V18" s="116" t="s">
        <v>276</v>
      </c>
      <c r="W18" s="114"/>
      <c r="X18" s="114"/>
      <c r="Y18" s="117"/>
      <c r="Z18" s="2"/>
      <c r="AA18" s="74">
        <v>1314.86</v>
      </c>
      <c r="AB18" s="75">
        <v>0.2</v>
      </c>
      <c r="AC18" s="2" t="s">
        <v>783</v>
      </c>
      <c r="AD18" s="279">
        <v>2.8999999999999998E-10</v>
      </c>
      <c r="AE18" s="75">
        <v>0.09</v>
      </c>
      <c r="AF18" s="17" t="s">
        <v>783</v>
      </c>
      <c r="AG18" s="2" t="s">
        <v>796</v>
      </c>
      <c r="AH18" s="2"/>
    </row>
    <row r="19" spans="1:34">
      <c r="A19" s="2"/>
      <c r="B19" s="78">
        <v>14</v>
      </c>
      <c r="C19" s="109" t="s">
        <v>748</v>
      </c>
      <c r="D19">
        <v>2</v>
      </c>
      <c r="E19">
        <v>1</v>
      </c>
      <c r="F19">
        <v>1</v>
      </c>
      <c r="G19">
        <v>1</v>
      </c>
      <c r="H19">
        <v>2</v>
      </c>
      <c r="I19" s="96">
        <v>-1</v>
      </c>
      <c r="J19" s="96">
        <v>-2</v>
      </c>
      <c r="K19" s="97">
        <v>7145</v>
      </c>
      <c r="L19" s="51"/>
      <c r="M19" s="74">
        <v>1321.31</v>
      </c>
      <c r="N19" s="75">
        <v>0.13</v>
      </c>
      <c r="O19" s="2"/>
      <c r="P19" s="98">
        <v>569085.14342938806</v>
      </c>
      <c r="Q19" s="98">
        <v>569081.38786705595</v>
      </c>
      <c r="R19" s="2"/>
      <c r="S19" s="74">
        <v>3</v>
      </c>
      <c r="T19" s="78" t="s">
        <v>274</v>
      </c>
      <c r="U19" s="1">
        <v>6.6733197999999996E-11</v>
      </c>
      <c r="V19" s="116" t="s">
        <v>309</v>
      </c>
      <c r="W19" s="114"/>
      <c r="X19" s="114"/>
      <c r="Y19" s="117"/>
      <c r="Z19" s="2"/>
      <c r="AA19" s="74">
        <v>1321.71</v>
      </c>
      <c r="AB19" s="75">
        <v>7.0000000000000007E-2</v>
      </c>
      <c r="AC19" s="2" t="s">
        <v>783</v>
      </c>
      <c r="AD19" s="333">
        <v>1.639E-10</v>
      </c>
      <c r="AE19" s="75">
        <v>1.4999999999999999E-2</v>
      </c>
      <c r="AF19" s="17" t="s">
        <v>783</v>
      </c>
      <c r="AG19" s="2" t="s">
        <v>796</v>
      </c>
      <c r="AH19" s="2"/>
    </row>
    <row r="20" spans="1:34">
      <c r="A20" s="2"/>
      <c r="B20" s="131">
        <v>15</v>
      </c>
      <c r="C20" s="110" t="s">
        <v>749</v>
      </c>
      <c r="D20" s="81">
        <v>2</v>
      </c>
      <c r="E20" s="81">
        <v>2</v>
      </c>
      <c r="F20" s="81">
        <v>1</v>
      </c>
      <c r="G20" s="81">
        <v>0</v>
      </c>
      <c r="H20" s="81">
        <v>1</v>
      </c>
      <c r="I20" s="82">
        <v>1</v>
      </c>
      <c r="J20" s="82">
        <v>-1</v>
      </c>
      <c r="K20" s="83">
        <v>1005</v>
      </c>
      <c r="L20" s="51"/>
      <c r="M20" s="84">
        <v>1189.3699999999999</v>
      </c>
      <c r="N20" s="85">
        <v>0.06</v>
      </c>
      <c r="O20" s="2"/>
      <c r="P20" s="86">
        <v>511375.21380004304</v>
      </c>
      <c r="Q20" s="86">
        <v>512263.59014242643</v>
      </c>
      <c r="R20" s="2"/>
      <c r="S20" s="74">
        <v>4</v>
      </c>
      <c r="T20" s="78" t="s">
        <v>275</v>
      </c>
      <c r="U20" s="1">
        <v>6.6738999999999998E-11</v>
      </c>
      <c r="V20" s="116" t="s">
        <v>276</v>
      </c>
      <c r="W20" s="114"/>
      <c r="X20" s="114"/>
      <c r="Y20" s="117"/>
      <c r="Z20" s="2"/>
      <c r="AA20" s="84">
        <v>1189.3699999999999</v>
      </c>
      <c r="AB20" s="85">
        <v>7.0000000000000007E-2</v>
      </c>
      <c r="AC20" s="2" t="s">
        <v>783</v>
      </c>
      <c r="AD20" s="277">
        <v>8.0180000000000001E-11</v>
      </c>
      <c r="AE20" s="85">
        <v>2.5999999999999999E-2</v>
      </c>
      <c r="AF20" s="17" t="s">
        <v>783</v>
      </c>
      <c r="AG20" s="2" t="s">
        <v>797</v>
      </c>
      <c r="AH20" s="2"/>
    </row>
    <row r="21" spans="1:34">
      <c r="A21" s="2"/>
      <c r="B21" s="78">
        <v>16</v>
      </c>
      <c r="C21" s="109" t="s">
        <v>750</v>
      </c>
      <c r="D21" s="6">
        <v>2</v>
      </c>
      <c r="E21" s="6">
        <v>2</v>
      </c>
      <c r="F21" s="6">
        <v>1</v>
      </c>
      <c r="G21" s="6">
        <v>0</v>
      </c>
      <c r="H21" s="6">
        <v>2</v>
      </c>
      <c r="I21" s="118">
        <v>0</v>
      </c>
      <c r="J21" s="118">
        <v>-1</v>
      </c>
      <c r="K21" s="119">
        <v>1109</v>
      </c>
      <c r="L21" s="51"/>
      <c r="M21" s="120">
        <v>1192.6420000000001</v>
      </c>
      <c r="N21" s="121">
        <v>2.4E-2</v>
      </c>
      <c r="O21" s="2"/>
      <c r="P21" s="122">
        <v>513584.36180144793</v>
      </c>
      <c r="Q21" s="122">
        <v>513602.00856082264</v>
      </c>
      <c r="R21" s="2"/>
      <c r="S21" s="74">
        <v>5</v>
      </c>
      <c r="T21" s="78" t="s">
        <v>257</v>
      </c>
      <c r="U21" s="1">
        <v>6.6729999999999999E-11</v>
      </c>
      <c r="V21" s="116" t="s">
        <v>276</v>
      </c>
      <c r="W21" s="114"/>
      <c r="X21" s="114"/>
      <c r="Y21" s="117"/>
      <c r="Z21" s="2"/>
      <c r="AA21" s="120">
        <v>1192.6420000000001</v>
      </c>
      <c r="AB21" s="121">
        <v>2.4E-2</v>
      </c>
      <c r="AC21" s="2" t="s">
        <v>783</v>
      </c>
      <c r="AD21" s="282">
        <v>7.4000000000000001E-20</v>
      </c>
      <c r="AE21" s="121">
        <v>0.7</v>
      </c>
      <c r="AF21" s="17" t="s">
        <v>783</v>
      </c>
      <c r="AG21" s="2" t="s">
        <v>797</v>
      </c>
      <c r="AH21" s="2"/>
    </row>
    <row r="22" spans="1:34">
      <c r="A22" s="2"/>
      <c r="B22" s="338">
        <v>17</v>
      </c>
      <c r="C22" s="115" t="s">
        <v>751</v>
      </c>
      <c r="D22" s="89">
        <v>2</v>
      </c>
      <c r="E22" s="89">
        <v>2</v>
      </c>
      <c r="F22" s="89">
        <v>1</v>
      </c>
      <c r="G22" s="89">
        <v>0</v>
      </c>
      <c r="H22" s="89">
        <v>3</v>
      </c>
      <c r="I22" s="90">
        <v>-1</v>
      </c>
      <c r="J22" s="90">
        <v>-1</v>
      </c>
      <c r="K22" s="91">
        <v>1001</v>
      </c>
      <c r="L22" s="51"/>
      <c r="M22" s="92">
        <v>1197.4490000000001</v>
      </c>
      <c r="N22" s="93">
        <v>0.03</v>
      </c>
      <c r="O22" s="2"/>
      <c r="P22" s="94">
        <v>515672.84027469764</v>
      </c>
      <c r="Q22" s="94">
        <v>515679.19742976618</v>
      </c>
      <c r="R22" s="2"/>
      <c r="S22" s="74">
        <v>6</v>
      </c>
      <c r="T22" s="78" t="s">
        <v>258</v>
      </c>
      <c r="U22" s="1">
        <v>6.6751199999999997E-11</v>
      </c>
      <c r="V22" s="116" t="s">
        <v>276</v>
      </c>
      <c r="W22" s="114"/>
      <c r="X22" s="114"/>
      <c r="Y22" s="117"/>
      <c r="Z22" s="2"/>
      <c r="AA22" s="92">
        <v>1197.4490000000001</v>
      </c>
      <c r="AB22" s="93">
        <v>0.03</v>
      </c>
      <c r="AC22" s="2" t="s">
        <v>783</v>
      </c>
      <c r="AD22" s="278">
        <v>1.479E-10</v>
      </c>
      <c r="AE22" s="93">
        <v>1.0999999999999999E-2</v>
      </c>
      <c r="AF22" s="17" t="s">
        <v>783</v>
      </c>
      <c r="AG22" s="2"/>
      <c r="AH22" s="2"/>
    </row>
    <row r="23" spans="1:34">
      <c r="A23" s="2"/>
      <c r="B23" s="78">
        <v>18</v>
      </c>
      <c r="C23" s="109" t="s">
        <v>464</v>
      </c>
      <c r="D23">
        <v>2</v>
      </c>
      <c r="E23">
        <v>3</v>
      </c>
      <c r="F23">
        <v>3</v>
      </c>
      <c r="G23">
        <v>0</v>
      </c>
      <c r="H23">
        <v>1</v>
      </c>
      <c r="I23" s="96">
        <v>2</v>
      </c>
      <c r="J23" s="96">
        <v>0</v>
      </c>
      <c r="K23" s="97"/>
      <c r="L23" s="51"/>
      <c r="M23" s="74"/>
      <c r="N23" s="75"/>
      <c r="O23" s="2"/>
      <c r="P23" s="98">
        <v>522422.22605535929</v>
      </c>
      <c r="Q23" s="98">
        <v>531016.40644672513</v>
      </c>
      <c r="R23" s="2"/>
      <c r="S23" s="74">
        <v>7</v>
      </c>
      <c r="T23" s="78" t="s">
        <v>260</v>
      </c>
      <c r="U23" s="1">
        <v>6.6733199999999998E-11</v>
      </c>
      <c r="V23" s="116" t="s">
        <v>276</v>
      </c>
      <c r="W23" s="114"/>
      <c r="X23" s="114"/>
      <c r="Y23" s="117"/>
      <c r="Z23" s="2"/>
      <c r="AA23" s="74"/>
      <c r="AB23" s="75"/>
      <c r="AC23" s="2"/>
      <c r="AD23" s="74"/>
      <c r="AE23" s="75"/>
      <c r="AF23" s="2"/>
      <c r="AG23" s="2"/>
      <c r="AH23" s="2"/>
    </row>
    <row r="24" spans="1:34">
      <c r="A24" s="2"/>
      <c r="B24" s="78">
        <v>19</v>
      </c>
      <c r="C24" s="109" t="s">
        <v>262</v>
      </c>
      <c r="D24">
        <v>2</v>
      </c>
      <c r="E24">
        <v>3</v>
      </c>
      <c r="F24">
        <v>3</v>
      </c>
      <c r="G24">
        <v>0</v>
      </c>
      <c r="H24">
        <v>2</v>
      </c>
      <c r="I24" s="96">
        <v>1</v>
      </c>
      <c r="J24" s="96">
        <v>0</v>
      </c>
      <c r="K24" s="97"/>
      <c r="L24" s="51"/>
      <c r="M24" s="74"/>
      <c r="N24" s="75"/>
      <c r="O24" s="2"/>
      <c r="P24" s="98">
        <v>524912.40955597546</v>
      </c>
      <c r="Q24" s="98">
        <v>531746.68470281793</v>
      </c>
      <c r="R24" s="2"/>
      <c r="S24" s="74">
        <v>8</v>
      </c>
      <c r="T24" s="155" t="s">
        <v>277</v>
      </c>
      <c r="U24" s="255" t="s">
        <v>343</v>
      </c>
      <c r="V24" s="256" t="s">
        <v>367</v>
      </c>
      <c r="W24" s="114"/>
      <c r="X24" s="114"/>
      <c r="Y24" s="117"/>
      <c r="Z24" s="2"/>
      <c r="AA24" s="74"/>
      <c r="AB24" s="75"/>
      <c r="AC24" s="2"/>
      <c r="AD24" s="74"/>
      <c r="AE24" s="75"/>
      <c r="AF24" s="2"/>
      <c r="AG24" s="2"/>
      <c r="AH24" s="2"/>
    </row>
    <row r="25" spans="1:34">
      <c r="A25" s="2"/>
      <c r="B25" s="78">
        <v>20</v>
      </c>
      <c r="C25" s="109" t="s">
        <v>261</v>
      </c>
      <c r="D25">
        <v>2</v>
      </c>
      <c r="E25">
        <v>3</v>
      </c>
      <c r="F25">
        <v>3</v>
      </c>
      <c r="G25">
        <v>0</v>
      </c>
      <c r="H25">
        <v>3</v>
      </c>
      <c r="I25" s="96">
        <v>0</v>
      </c>
      <c r="J25" s="96">
        <v>0</v>
      </c>
      <c r="K25" s="97"/>
      <c r="L25" s="51"/>
      <c r="M25" s="74"/>
      <c r="N25" s="75"/>
      <c r="O25" s="2"/>
      <c r="P25" s="98">
        <v>526088.90519075934</v>
      </c>
      <c r="Q25" s="98">
        <v>531384.62719871511</v>
      </c>
      <c r="R25" s="2"/>
      <c r="S25" s="74">
        <v>9</v>
      </c>
      <c r="T25" s="78" t="s">
        <v>263</v>
      </c>
      <c r="U25" s="1">
        <v>6.6733081999999994E-11</v>
      </c>
      <c r="V25" s="116" t="s">
        <v>276</v>
      </c>
      <c r="W25" s="114"/>
      <c r="X25" s="114"/>
      <c r="Y25" s="117"/>
      <c r="Z25" s="2"/>
      <c r="AA25" s="74"/>
      <c r="AB25" s="75"/>
      <c r="AC25" s="2"/>
      <c r="AD25" s="280"/>
      <c r="AE25" s="75"/>
      <c r="AF25" s="17"/>
      <c r="AG25" s="2"/>
      <c r="AH25" s="2"/>
    </row>
    <row r="26" spans="1:34">
      <c r="A26" s="2"/>
      <c r="B26" s="78">
        <v>21</v>
      </c>
      <c r="C26" s="109" t="s">
        <v>259</v>
      </c>
      <c r="D26">
        <v>2</v>
      </c>
      <c r="E26">
        <v>3</v>
      </c>
      <c r="F26">
        <v>3</v>
      </c>
      <c r="G26">
        <v>0</v>
      </c>
      <c r="H26">
        <v>4</v>
      </c>
      <c r="I26" s="96">
        <v>-1</v>
      </c>
      <c r="J26" s="96">
        <v>0</v>
      </c>
      <c r="K26" s="97"/>
      <c r="L26" s="51"/>
      <c r="M26" s="74"/>
      <c r="N26" s="75"/>
      <c r="O26" s="2"/>
      <c r="P26" s="98">
        <v>536790.72841489804</v>
      </c>
      <c r="Q26" s="98">
        <v>529759.20684386708</v>
      </c>
      <c r="R26" s="2"/>
      <c r="S26" s="74">
        <v>10</v>
      </c>
      <c r="T26" s="78" t="s">
        <v>319</v>
      </c>
      <c r="U26" s="1">
        <v>6.6727991500000006E-11</v>
      </c>
      <c r="V26" s="116" t="s">
        <v>321</v>
      </c>
      <c r="W26" s="114"/>
      <c r="X26" s="114"/>
      <c r="Y26" s="117"/>
      <c r="Z26" s="2"/>
      <c r="AA26" s="74"/>
      <c r="AB26" s="75"/>
      <c r="AC26" s="2"/>
      <c r="AD26" s="279"/>
      <c r="AE26" s="75"/>
      <c r="AF26" s="17"/>
      <c r="AG26" s="2"/>
      <c r="AH26" s="2"/>
    </row>
    <row r="27" spans="1:34">
      <c r="A27" s="2"/>
      <c r="B27" s="131">
        <v>22</v>
      </c>
      <c r="C27" s="172" t="s">
        <v>467</v>
      </c>
      <c r="D27" s="81">
        <v>2</v>
      </c>
      <c r="E27" s="81">
        <v>3</v>
      </c>
      <c r="F27" s="81">
        <v>1</v>
      </c>
      <c r="G27" s="81">
        <v>0</v>
      </c>
      <c r="H27" s="81">
        <v>4</v>
      </c>
      <c r="I27" s="82">
        <v>-2</v>
      </c>
      <c r="J27" s="82">
        <v>0</v>
      </c>
      <c r="K27" s="83">
        <v>860</v>
      </c>
      <c r="L27" s="51"/>
      <c r="M27" s="84">
        <v>1672.45</v>
      </c>
      <c r="N27" s="85">
        <v>0.28999999999999998</v>
      </c>
      <c r="O27" s="2"/>
      <c r="P27" s="86">
        <v>660739.82064510533</v>
      </c>
      <c r="Q27" s="86">
        <v>1619647.4158086113</v>
      </c>
      <c r="R27" s="2"/>
      <c r="S27" s="87">
        <v>11</v>
      </c>
      <c r="T27" s="149" t="s">
        <v>734</v>
      </c>
      <c r="U27" s="269">
        <v>6.6740800000000003E-11</v>
      </c>
      <c r="V27" s="156" t="s">
        <v>367</v>
      </c>
      <c r="W27" s="123"/>
      <c r="X27" s="123"/>
      <c r="Y27" s="124"/>
      <c r="Z27" s="2"/>
      <c r="AA27" s="84"/>
      <c r="AB27" s="85"/>
      <c r="AC27" s="2"/>
      <c r="AD27" s="84"/>
      <c r="AE27" s="85"/>
      <c r="AF27" s="17"/>
      <c r="AG27" s="2"/>
      <c r="AH27" s="2"/>
    </row>
    <row r="28" spans="1:34">
      <c r="A28" s="2"/>
      <c r="B28" s="78">
        <v>23</v>
      </c>
      <c r="C28" s="173" t="s">
        <v>468</v>
      </c>
      <c r="D28" s="6">
        <v>2</v>
      </c>
      <c r="E28" s="6">
        <v>3</v>
      </c>
      <c r="F28" s="6">
        <v>1</v>
      </c>
      <c r="G28" s="6">
        <v>0</v>
      </c>
      <c r="H28" s="6">
        <v>3</v>
      </c>
      <c r="I28" s="118">
        <v>-1</v>
      </c>
      <c r="J28" s="118">
        <v>0</v>
      </c>
      <c r="K28" s="119">
        <v>933</v>
      </c>
      <c r="L28" s="51"/>
      <c r="M28" s="120"/>
      <c r="N28" s="121"/>
      <c r="O28" s="2"/>
      <c r="P28" s="122">
        <v>659396.86824541166</v>
      </c>
      <c r="Q28" s="122">
        <v>1582375.240883542</v>
      </c>
      <c r="R28" s="2"/>
      <c r="S28" s="2"/>
      <c r="T28" s="2"/>
      <c r="U28" s="2"/>
      <c r="V28" s="2"/>
      <c r="W28" s="2"/>
      <c r="X28" s="2"/>
      <c r="Y28" s="2"/>
      <c r="Z28" s="2"/>
      <c r="AA28" s="120"/>
      <c r="AB28" s="121"/>
      <c r="AC28" s="2"/>
      <c r="AD28" s="120"/>
      <c r="AE28" s="121"/>
      <c r="AF28" s="2"/>
      <c r="AG28" s="2"/>
      <c r="AH28" s="2"/>
    </row>
    <row r="29" spans="1:34">
      <c r="A29" s="2"/>
      <c r="B29" s="78">
        <v>24</v>
      </c>
      <c r="C29" s="173" t="s">
        <v>469</v>
      </c>
      <c r="D29" s="6">
        <v>2</v>
      </c>
      <c r="E29" s="6">
        <v>3</v>
      </c>
      <c r="F29" s="6">
        <v>1</v>
      </c>
      <c r="G29" s="6">
        <v>0</v>
      </c>
      <c r="H29" s="6">
        <v>2</v>
      </c>
      <c r="I29" s="118">
        <v>0</v>
      </c>
      <c r="J29" s="118">
        <v>0</v>
      </c>
      <c r="K29" s="119">
        <v>1023</v>
      </c>
      <c r="L29" s="51"/>
      <c r="M29" s="120"/>
      <c r="N29" s="121"/>
      <c r="O29" s="2"/>
      <c r="P29" s="122">
        <v>667215.79827255488</v>
      </c>
      <c r="Q29" s="122">
        <v>1683192.7107459558</v>
      </c>
      <c r="R29" s="2"/>
      <c r="S29" s="2"/>
      <c r="T29" s="2"/>
      <c r="U29" s="2"/>
      <c r="V29" s="3"/>
      <c r="W29" s="2"/>
      <c r="X29" s="2"/>
      <c r="Y29" s="2"/>
      <c r="Z29" s="2"/>
      <c r="AA29" s="120"/>
      <c r="AB29" s="121"/>
      <c r="AC29" s="2"/>
      <c r="AD29" s="120"/>
      <c r="AE29" s="121"/>
      <c r="AF29" s="2"/>
      <c r="AG29" s="2"/>
      <c r="AH29" s="2"/>
    </row>
    <row r="30" spans="1:34">
      <c r="A30" s="2"/>
      <c r="B30" s="338">
        <v>25</v>
      </c>
      <c r="C30" s="245" t="s">
        <v>470</v>
      </c>
      <c r="D30" s="89">
        <v>2</v>
      </c>
      <c r="E30" s="89">
        <v>3</v>
      </c>
      <c r="F30" s="89">
        <v>1</v>
      </c>
      <c r="G30" s="89">
        <v>0</v>
      </c>
      <c r="H30" s="89">
        <v>1</v>
      </c>
      <c r="I30" s="90">
        <v>1</v>
      </c>
      <c r="J30" s="90">
        <v>0</v>
      </c>
      <c r="K30" s="91">
        <v>927</v>
      </c>
      <c r="L30" s="51"/>
      <c r="M30" s="92"/>
      <c r="N30" s="93"/>
      <c r="O30" s="2"/>
      <c r="P30" s="94">
        <v>663264.96613050462</v>
      </c>
      <c r="Q30" s="94">
        <v>1662674.5333415947</v>
      </c>
      <c r="R30" s="2"/>
      <c r="S30" s="4" t="s">
        <v>299</v>
      </c>
      <c r="T30" s="2"/>
      <c r="U30" s="2"/>
      <c r="V30" s="2"/>
      <c r="W30" s="2"/>
      <c r="X30" s="2"/>
      <c r="Y30" s="2"/>
      <c r="Z30" s="2"/>
      <c r="AA30" s="92"/>
      <c r="AB30" s="93"/>
      <c r="AC30" s="2"/>
      <c r="AD30" s="92"/>
      <c r="AE30" s="93"/>
      <c r="AF30" s="2"/>
      <c r="AG30" s="2"/>
      <c r="AH30" s="2"/>
    </row>
    <row r="31" spans="1:34">
      <c r="A31" s="2"/>
      <c r="B31" s="131">
        <v>26</v>
      </c>
      <c r="C31" s="172" t="s">
        <v>752</v>
      </c>
      <c r="D31" s="71">
        <v>2</v>
      </c>
      <c r="E31" s="71">
        <v>3</v>
      </c>
      <c r="F31" s="71">
        <v>3</v>
      </c>
      <c r="G31" s="71">
        <v>0</v>
      </c>
      <c r="H31" s="71">
        <v>1</v>
      </c>
      <c r="I31" s="72">
        <v>2</v>
      </c>
      <c r="J31" s="72">
        <v>0</v>
      </c>
      <c r="K31" s="73">
        <v>1147</v>
      </c>
      <c r="L31" s="51"/>
      <c r="M31" s="74"/>
      <c r="N31" s="75"/>
      <c r="O31" s="2"/>
      <c r="P31" s="176">
        <v>522467.30216926261</v>
      </c>
      <c r="Q31" s="176">
        <v>531016.40644672513</v>
      </c>
      <c r="R31" s="2"/>
      <c r="S31" s="2"/>
      <c r="T31" s="2"/>
      <c r="U31" s="2"/>
      <c r="V31" s="2"/>
      <c r="W31" s="2"/>
      <c r="X31" s="2"/>
      <c r="Y31" s="2"/>
      <c r="Z31" s="2"/>
      <c r="AA31" s="69">
        <v>1232</v>
      </c>
      <c r="AB31" s="174">
        <v>2</v>
      </c>
      <c r="AC31" s="2" t="s">
        <v>783</v>
      </c>
      <c r="AD31" s="345">
        <v>5.6299999999999999E-24</v>
      </c>
      <c r="AE31" s="75">
        <v>0.14000000000000001</v>
      </c>
      <c r="AF31" s="17" t="s">
        <v>783</v>
      </c>
      <c r="AG31" s="2" t="s">
        <v>792</v>
      </c>
      <c r="AH31" s="2"/>
    </row>
    <row r="32" spans="1:34">
      <c r="A32" s="2"/>
      <c r="B32" s="78">
        <v>27</v>
      </c>
      <c r="C32" s="173" t="s">
        <v>753</v>
      </c>
      <c r="D32">
        <v>2</v>
      </c>
      <c r="E32">
        <v>3</v>
      </c>
      <c r="F32">
        <v>3</v>
      </c>
      <c r="G32">
        <v>0</v>
      </c>
      <c r="H32">
        <v>2</v>
      </c>
      <c r="I32" s="96">
        <v>1</v>
      </c>
      <c r="J32" s="96">
        <v>0</v>
      </c>
      <c r="K32" s="97">
        <v>1229</v>
      </c>
      <c r="L32" s="51"/>
      <c r="M32" s="74"/>
      <c r="N32" s="75"/>
      <c r="O32" s="2"/>
      <c r="P32" s="98">
        <v>524946.02259071241</v>
      </c>
      <c r="Q32" s="98">
        <v>531746.68470281793</v>
      </c>
      <c r="R32" s="2"/>
      <c r="S32" s="61" t="s">
        <v>248</v>
      </c>
      <c r="T32" s="66" t="s">
        <v>249</v>
      </c>
      <c r="U32" s="68" t="s">
        <v>254</v>
      </c>
      <c r="V32" s="2"/>
      <c r="W32" s="2"/>
      <c r="X32" s="2"/>
      <c r="Y32" s="2"/>
      <c r="Z32" s="2"/>
      <c r="AA32" s="74">
        <v>1232</v>
      </c>
      <c r="AB32" s="75">
        <v>2</v>
      </c>
      <c r="AC32" s="2" t="s">
        <v>783</v>
      </c>
      <c r="AD32" s="74">
        <v>5.6299999999999999E-24</v>
      </c>
      <c r="AE32" s="75">
        <v>0.14000000000000001</v>
      </c>
      <c r="AF32" s="17" t="s">
        <v>783</v>
      </c>
      <c r="AG32" s="2" t="s">
        <v>792</v>
      </c>
      <c r="AH32" s="2"/>
    </row>
    <row r="33" spans="1:34">
      <c r="A33" s="2"/>
      <c r="B33" s="78">
        <v>28</v>
      </c>
      <c r="C33" s="173" t="s">
        <v>754</v>
      </c>
      <c r="D33">
        <v>2</v>
      </c>
      <c r="E33">
        <v>3</v>
      </c>
      <c r="F33">
        <v>3</v>
      </c>
      <c r="G33">
        <v>0</v>
      </c>
      <c r="H33">
        <v>3</v>
      </c>
      <c r="I33" s="96">
        <v>0</v>
      </c>
      <c r="J33" s="96">
        <v>0</v>
      </c>
      <c r="K33" s="97">
        <v>1361</v>
      </c>
      <c r="L33" s="51"/>
      <c r="M33" s="74"/>
      <c r="N33" s="75"/>
      <c r="O33" s="2"/>
      <c r="P33" s="98">
        <v>526100.02114106331</v>
      </c>
      <c r="Q33" s="98">
        <v>531384.62719871511</v>
      </c>
      <c r="R33" s="2"/>
      <c r="S33" s="69">
        <v>1</v>
      </c>
      <c r="T33" s="131" t="s">
        <v>353</v>
      </c>
      <c r="U33" s="132">
        <f>Konstante!E70</f>
        <v>299792465.33880228</v>
      </c>
      <c r="V33" s="2"/>
      <c r="W33" s="2"/>
      <c r="X33" s="2"/>
      <c r="Y33" s="2"/>
      <c r="Z33" s="2"/>
      <c r="AA33" s="74">
        <v>1232</v>
      </c>
      <c r="AB33" s="75">
        <v>2</v>
      </c>
      <c r="AC33" s="2" t="s">
        <v>783</v>
      </c>
      <c r="AD33" s="74">
        <v>5.6299999999999999E-24</v>
      </c>
      <c r="AE33" s="75">
        <v>0.14000000000000001</v>
      </c>
      <c r="AF33" s="17" t="s">
        <v>783</v>
      </c>
      <c r="AG33" s="2" t="s">
        <v>792</v>
      </c>
      <c r="AH33" s="2"/>
    </row>
    <row r="34" spans="1:34">
      <c r="A34" s="2"/>
      <c r="B34" s="78">
        <v>29</v>
      </c>
      <c r="C34" s="173" t="s">
        <v>755</v>
      </c>
      <c r="D34">
        <v>2</v>
      </c>
      <c r="E34">
        <v>3</v>
      </c>
      <c r="F34">
        <v>3</v>
      </c>
      <c r="G34">
        <v>0</v>
      </c>
      <c r="H34">
        <v>4</v>
      </c>
      <c r="I34" s="96">
        <v>-1</v>
      </c>
      <c r="J34" s="96">
        <v>0</v>
      </c>
      <c r="K34" s="97">
        <v>1227</v>
      </c>
      <c r="L34" s="51"/>
      <c r="M34" s="74"/>
      <c r="N34" s="75"/>
      <c r="O34" s="2"/>
      <c r="P34" s="98">
        <v>536824.34145405504</v>
      </c>
      <c r="Q34" s="98">
        <v>529759.20684386708</v>
      </c>
      <c r="R34" s="2"/>
      <c r="S34" s="74">
        <v>2</v>
      </c>
      <c r="T34" s="78" t="s">
        <v>256</v>
      </c>
      <c r="U34" s="133">
        <v>299792458</v>
      </c>
      <c r="V34" s="2"/>
      <c r="W34" s="2"/>
      <c r="X34" s="2"/>
      <c r="Y34" s="2"/>
      <c r="Z34" s="2"/>
      <c r="AA34" s="87">
        <v>1232</v>
      </c>
      <c r="AB34" s="175">
        <v>2</v>
      </c>
      <c r="AC34" s="2" t="s">
        <v>783</v>
      </c>
      <c r="AD34" s="87">
        <v>5.6299999999999999E-24</v>
      </c>
      <c r="AE34" s="75">
        <v>0.14000000000000001</v>
      </c>
      <c r="AF34" s="17" t="s">
        <v>783</v>
      </c>
      <c r="AG34" s="2" t="s">
        <v>792</v>
      </c>
      <c r="AH34" s="2"/>
    </row>
    <row r="35" spans="1:34">
      <c r="A35" s="2"/>
      <c r="B35" s="131">
        <v>30</v>
      </c>
      <c r="C35" s="172" t="s">
        <v>641</v>
      </c>
      <c r="D35" s="81">
        <v>2</v>
      </c>
      <c r="E35" s="81">
        <v>4</v>
      </c>
      <c r="F35" s="81">
        <v>1</v>
      </c>
      <c r="G35" s="81">
        <v>0</v>
      </c>
      <c r="H35" s="81">
        <v>1</v>
      </c>
      <c r="I35" s="82">
        <v>4</v>
      </c>
      <c r="J35" s="82">
        <v>3</v>
      </c>
      <c r="K35" s="83"/>
      <c r="L35" s="51"/>
      <c r="M35" s="84"/>
      <c r="N35" s="85"/>
      <c r="O35" s="2"/>
      <c r="P35" s="86"/>
      <c r="Q35" s="86">
        <v>17445839.829245392</v>
      </c>
      <c r="R35" s="2"/>
      <c r="S35" s="74">
        <v>3</v>
      </c>
      <c r="T35" s="78" t="s">
        <v>339</v>
      </c>
      <c r="U35" s="133">
        <v>299792500</v>
      </c>
      <c r="V35" s="2"/>
      <c r="W35" s="2"/>
      <c r="X35" s="2"/>
      <c r="Y35" s="2"/>
      <c r="Z35" s="2"/>
      <c r="AA35" s="84"/>
      <c r="AB35" s="85"/>
      <c r="AC35" s="2"/>
      <c r="AD35" s="84"/>
      <c r="AE35" s="85"/>
      <c r="AF35" s="2"/>
      <c r="AG35" s="2"/>
      <c r="AH35" s="2"/>
    </row>
    <row r="36" spans="1:34">
      <c r="A36" s="2"/>
      <c r="B36" s="78">
        <v>31</v>
      </c>
      <c r="C36" s="173" t="s">
        <v>642</v>
      </c>
      <c r="D36" s="6">
        <v>2</v>
      </c>
      <c r="E36" s="6">
        <v>4</v>
      </c>
      <c r="F36" s="6">
        <v>1</v>
      </c>
      <c r="G36" s="6">
        <v>0</v>
      </c>
      <c r="H36" s="6">
        <v>2</v>
      </c>
      <c r="I36" s="118">
        <v>3</v>
      </c>
      <c r="J36" s="118">
        <v>3</v>
      </c>
      <c r="K36" s="119"/>
      <c r="L36" s="2"/>
      <c r="M36" s="120"/>
      <c r="N36" s="121"/>
      <c r="O36" s="2"/>
      <c r="P36" s="122"/>
      <c r="Q36" s="122">
        <v>17219649.325108033</v>
      </c>
      <c r="R36" s="2"/>
      <c r="S36" s="74">
        <v>4</v>
      </c>
      <c r="T36" s="78" t="s">
        <v>340</v>
      </c>
      <c r="U36" s="133">
        <v>299792458</v>
      </c>
      <c r="V36" s="2"/>
      <c r="W36" s="2"/>
      <c r="X36" s="2"/>
      <c r="Y36" s="2"/>
      <c r="Z36" s="2"/>
      <c r="AA36" s="120"/>
      <c r="AB36" s="121"/>
      <c r="AC36" s="2"/>
      <c r="AD36" s="120"/>
      <c r="AE36" s="121"/>
      <c r="AF36" s="2"/>
      <c r="AG36" s="2"/>
      <c r="AH36" s="2"/>
    </row>
    <row r="37" spans="1:34">
      <c r="A37" s="2"/>
      <c r="B37" s="78">
        <v>32</v>
      </c>
      <c r="C37" s="173" t="s">
        <v>643</v>
      </c>
      <c r="D37" s="6">
        <v>2</v>
      </c>
      <c r="E37" s="6">
        <v>4</v>
      </c>
      <c r="F37" s="6">
        <v>1</v>
      </c>
      <c r="G37" s="6">
        <v>0</v>
      </c>
      <c r="H37" s="6">
        <v>3</v>
      </c>
      <c r="I37" s="118">
        <v>2</v>
      </c>
      <c r="J37" s="118">
        <v>3</v>
      </c>
      <c r="K37" s="119"/>
      <c r="L37" s="2"/>
      <c r="M37" s="120"/>
      <c r="N37" s="121"/>
      <c r="O37" s="2"/>
      <c r="P37" s="122"/>
      <c r="Q37" s="122">
        <v>17111303.293660328</v>
      </c>
      <c r="R37" s="2"/>
      <c r="S37" s="87">
        <v>5</v>
      </c>
      <c r="T37" s="149" t="s">
        <v>734</v>
      </c>
      <c r="U37" s="150">
        <v>299792458</v>
      </c>
      <c r="V37" s="2"/>
      <c r="W37" s="2"/>
      <c r="X37" s="2"/>
      <c r="Y37" s="2"/>
      <c r="Z37" s="2"/>
      <c r="AA37" s="120"/>
      <c r="AB37" s="121"/>
      <c r="AC37" s="2"/>
      <c r="AD37" s="120"/>
      <c r="AE37" s="121"/>
      <c r="AF37" s="2"/>
      <c r="AG37" s="2"/>
      <c r="AH37" s="2"/>
    </row>
    <row r="38" spans="1:34">
      <c r="A38" s="2"/>
      <c r="B38" s="78">
        <v>33</v>
      </c>
      <c r="C38" s="173" t="s">
        <v>644</v>
      </c>
      <c r="D38" s="6">
        <v>2</v>
      </c>
      <c r="E38" s="6">
        <v>4</v>
      </c>
      <c r="F38" s="6">
        <v>1</v>
      </c>
      <c r="G38" s="6">
        <v>0</v>
      </c>
      <c r="H38" s="6">
        <v>4</v>
      </c>
      <c r="I38" s="118">
        <v>1</v>
      </c>
      <c r="J38" s="118">
        <v>3</v>
      </c>
      <c r="K38" s="119"/>
      <c r="L38" s="2"/>
      <c r="M38" s="120"/>
      <c r="N38" s="121"/>
      <c r="O38" s="2"/>
      <c r="P38" s="122"/>
      <c r="Q38" s="122">
        <v>17743844.643761456</v>
      </c>
      <c r="R38" s="2"/>
      <c r="S38" s="2"/>
      <c r="T38" s="2"/>
      <c r="U38" s="2"/>
      <c r="V38" s="2"/>
      <c r="W38" s="2"/>
      <c r="X38" s="2"/>
      <c r="Y38" s="2"/>
      <c r="Z38" s="2"/>
      <c r="AA38" s="120"/>
      <c r="AB38" s="121"/>
      <c r="AC38" s="2"/>
      <c r="AD38" s="120"/>
      <c r="AE38" s="121"/>
      <c r="AF38" s="2"/>
      <c r="AG38" s="2"/>
      <c r="AH38" s="2"/>
    </row>
    <row r="39" spans="1:34">
      <c r="A39" s="2"/>
      <c r="B39" s="338">
        <v>34</v>
      </c>
      <c r="C39" s="245" t="s">
        <v>640</v>
      </c>
      <c r="D39" s="89">
        <v>2</v>
      </c>
      <c r="E39" s="89">
        <v>4</v>
      </c>
      <c r="F39" s="89">
        <v>1</v>
      </c>
      <c r="G39" s="89">
        <v>0</v>
      </c>
      <c r="H39" s="89">
        <v>5</v>
      </c>
      <c r="I39" s="90">
        <v>0</v>
      </c>
      <c r="J39" s="90">
        <v>3</v>
      </c>
      <c r="K39" s="91"/>
      <c r="L39" s="2"/>
      <c r="M39" s="92"/>
      <c r="N39" s="93"/>
      <c r="O39" s="2"/>
      <c r="P39" s="94"/>
      <c r="Q39" s="94">
        <v>17412728.855524603</v>
      </c>
      <c r="R39" s="2"/>
      <c r="S39" s="2"/>
      <c r="T39" s="2"/>
      <c r="U39" s="2"/>
      <c r="V39" s="2"/>
      <c r="W39" s="2"/>
      <c r="X39" s="2"/>
      <c r="Y39" s="2"/>
      <c r="Z39" s="2"/>
      <c r="AA39" s="92"/>
      <c r="AB39" s="93"/>
      <c r="AC39" s="2"/>
      <c r="AD39" s="92"/>
      <c r="AE39" s="93"/>
      <c r="AF39" s="2"/>
      <c r="AG39" s="2"/>
      <c r="AH39" s="2"/>
    </row>
    <row r="40" spans="1:34">
      <c r="A40" s="2"/>
      <c r="B40" s="131">
        <v>35</v>
      </c>
      <c r="C40" s="70" t="s">
        <v>661</v>
      </c>
      <c r="D40" s="237">
        <v>1</v>
      </c>
      <c r="E40" s="237">
        <v>0</v>
      </c>
      <c r="F40" s="237">
        <v>1</v>
      </c>
      <c r="G40" s="237">
        <v>0</v>
      </c>
      <c r="H40" s="237"/>
      <c r="I40" s="238">
        <v>0</v>
      </c>
      <c r="J40" s="238">
        <v>1</v>
      </c>
      <c r="K40" s="239"/>
      <c r="L40" s="2"/>
      <c r="M40" s="2"/>
      <c r="N40" s="2"/>
      <c r="O40" s="2"/>
      <c r="P40" s="2"/>
      <c r="Q40" s="2"/>
      <c r="R40" s="2"/>
      <c r="S40" s="4" t="s">
        <v>298</v>
      </c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1:34">
      <c r="A41" s="2"/>
      <c r="B41" s="78">
        <v>36</v>
      </c>
      <c r="C41" s="95" t="s">
        <v>662</v>
      </c>
      <c r="D41" s="22">
        <v>1</v>
      </c>
      <c r="E41" s="22">
        <v>1</v>
      </c>
      <c r="F41" s="22">
        <v>1</v>
      </c>
      <c r="G41" s="22">
        <v>0</v>
      </c>
      <c r="H41" s="22"/>
      <c r="I41" s="232">
        <v>0</v>
      </c>
      <c r="J41" s="232">
        <v>1</v>
      </c>
      <c r="K41" s="233"/>
      <c r="L41" s="2"/>
      <c r="M41" s="2" t="s">
        <v>265</v>
      </c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1:34">
      <c r="A42" s="2"/>
      <c r="B42" s="78">
        <v>37</v>
      </c>
      <c r="C42" s="95" t="s">
        <v>663</v>
      </c>
      <c r="D42" s="22">
        <v>1</v>
      </c>
      <c r="E42" s="22">
        <v>2</v>
      </c>
      <c r="F42" s="22">
        <v>0</v>
      </c>
      <c r="G42" s="22">
        <v>0</v>
      </c>
      <c r="H42" s="22"/>
      <c r="I42" s="232">
        <v>0</v>
      </c>
      <c r="J42" s="232">
        <v>1</v>
      </c>
      <c r="K42" s="233"/>
      <c r="L42" s="2"/>
      <c r="M42" s="2" t="s">
        <v>323</v>
      </c>
      <c r="N42" s="2"/>
      <c r="O42" s="2"/>
      <c r="P42" s="2"/>
      <c r="Q42" s="2"/>
      <c r="R42" s="2"/>
      <c r="S42" s="134" t="s">
        <v>248</v>
      </c>
      <c r="T42" s="135" t="s">
        <v>249</v>
      </c>
      <c r="U42" s="68" t="s">
        <v>254</v>
      </c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1:34">
      <c r="A43" s="2"/>
      <c r="B43" s="78">
        <v>38</v>
      </c>
      <c r="C43" s="95" t="s">
        <v>664</v>
      </c>
      <c r="D43" s="22">
        <v>2</v>
      </c>
      <c r="E43" s="22">
        <v>1</v>
      </c>
      <c r="F43" s="22">
        <v>1</v>
      </c>
      <c r="G43" s="22">
        <v>0</v>
      </c>
      <c r="H43" s="22"/>
      <c r="I43" s="232">
        <v>0</v>
      </c>
      <c r="J43" s="232">
        <v>1</v>
      </c>
      <c r="K43" s="233"/>
      <c r="L43" s="2"/>
      <c r="M43" s="2"/>
      <c r="N43" s="2"/>
      <c r="O43" s="2"/>
      <c r="P43" s="2"/>
      <c r="Q43" s="2"/>
      <c r="R43" s="2"/>
      <c r="S43" s="69">
        <v>1</v>
      </c>
      <c r="T43" s="131" t="s">
        <v>353</v>
      </c>
      <c r="U43" s="142">
        <f>Konstante!E71</f>
        <v>376.73030426595642</v>
      </c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1:34">
      <c r="A44" s="2"/>
      <c r="B44" s="338">
        <v>39</v>
      </c>
      <c r="C44" s="88" t="s">
        <v>665</v>
      </c>
      <c r="D44" s="234">
        <v>2</v>
      </c>
      <c r="E44" s="234">
        <v>1</v>
      </c>
      <c r="F44" s="234">
        <v>1</v>
      </c>
      <c r="G44" s="234">
        <v>1</v>
      </c>
      <c r="H44" s="234"/>
      <c r="I44" s="235">
        <v>0</v>
      </c>
      <c r="J44" s="235">
        <v>1</v>
      </c>
      <c r="K44" s="236"/>
      <c r="L44" s="2"/>
      <c r="M44" s="2"/>
      <c r="N44" s="2"/>
      <c r="O44" s="2"/>
      <c r="P44" s="2"/>
      <c r="Q44" s="2"/>
      <c r="R44" s="2"/>
      <c r="S44" s="74">
        <v>2</v>
      </c>
      <c r="T44" s="78" t="s">
        <v>256</v>
      </c>
      <c r="U44" s="143">
        <v>376.73037658999999</v>
      </c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1:34">
      <c r="A45" s="2"/>
      <c r="B45" s="2"/>
      <c r="C45" s="38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74">
        <v>3</v>
      </c>
      <c r="T45" s="78" t="s">
        <v>339</v>
      </c>
      <c r="U45" s="143">
        <v>376.72482000000002</v>
      </c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1:34">
      <c r="A46" s="2" t="s">
        <v>248</v>
      </c>
      <c r="B46" s="2" t="s">
        <v>264</v>
      </c>
      <c r="C46" s="38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74">
        <v>4</v>
      </c>
      <c r="T46" s="78" t="s">
        <v>340</v>
      </c>
      <c r="U46" s="143">
        <v>376.73037658999999</v>
      </c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1:34">
      <c r="A47" s="2" t="s">
        <v>249</v>
      </c>
      <c r="B47" s="2" t="s">
        <v>249</v>
      </c>
      <c r="C47" s="38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74">
        <v>5</v>
      </c>
      <c r="T47" s="78" t="s">
        <v>257</v>
      </c>
      <c r="U47" s="144">
        <v>376.73031346099998</v>
      </c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1:34">
      <c r="A48" s="2" t="s">
        <v>52</v>
      </c>
      <c r="B48" s="2" t="s">
        <v>471</v>
      </c>
      <c r="C48" s="38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87">
        <v>6</v>
      </c>
      <c r="T48" s="149" t="s">
        <v>734</v>
      </c>
      <c r="U48" s="337">
        <v>376.73031346099998</v>
      </c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1:34">
      <c r="A49" s="2" t="s">
        <v>93</v>
      </c>
      <c r="B49" s="2" t="s">
        <v>55</v>
      </c>
      <c r="C49" s="38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1:34">
      <c r="A50" s="2" t="s">
        <v>94</v>
      </c>
      <c r="B50" s="2" t="s">
        <v>266</v>
      </c>
      <c r="C50" s="38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1:34">
      <c r="A51" s="2" t="s">
        <v>53</v>
      </c>
      <c r="B51" s="2" t="s">
        <v>54</v>
      </c>
      <c r="C51" s="38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4" t="s">
        <v>346</v>
      </c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1:34">
      <c r="A52" s="2" t="s">
        <v>12</v>
      </c>
      <c r="B52" s="2" t="s">
        <v>267</v>
      </c>
      <c r="C52" s="38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1:34">
      <c r="A53" s="51" t="s">
        <v>61</v>
      </c>
      <c r="B53" s="51" t="s">
        <v>268</v>
      </c>
      <c r="C53" s="38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134" t="s">
        <v>248</v>
      </c>
      <c r="T53" s="135" t="s">
        <v>249</v>
      </c>
      <c r="U53" s="68" t="s">
        <v>254</v>
      </c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1:34">
      <c r="A54" s="51" t="s">
        <v>64</v>
      </c>
      <c r="B54" s="51" t="s">
        <v>269</v>
      </c>
      <c r="C54" s="41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69">
        <v>1</v>
      </c>
      <c r="T54" s="131" t="s">
        <v>297</v>
      </c>
      <c r="U54" s="132">
        <f>Konstante!E85</f>
        <v>2.2589420334427637E-31</v>
      </c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1:34">
      <c r="A55" s="51" t="s">
        <v>310</v>
      </c>
      <c r="B55" s="51" t="s">
        <v>311</v>
      </c>
      <c r="C55" s="38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74">
        <v>2</v>
      </c>
      <c r="T55" s="78" t="s">
        <v>339</v>
      </c>
      <c r="U55" s="133">
        <v>2.2590274100000001E-31</v>
      </c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</row>
    <row r="56" spans="1:34">
      <c r="A56" s="2"/>
      <c r="B56" s="2"/>
      <c r="C56" s="38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74">
        <v>3</v>
      </c>
      <c r="T56" s="78" t="s">
        <v>340</v>
      </c>
      <c r="U56" s="136">
        <v>2.2590213399999999E-31</v>
      </c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1:34">
      <c r="A57" s="181"/>
      <c r="B57" s="2" t="s">
        <v>465</v>
      </c>
      <c r="C57" s="38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87">
        <v>4</v>
      </c>
      <c r="T57" s="149" t="s">
        <v>277</v>
      </c>
      <c r="U57" s="150" t="s">
        <v>343</v>
      </c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1:34">
      <c r="A58" s="181"/>
      <c r="B58" s="2" t="s">
        <v>466</v>
      </c>
      <c r="C58" s="38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1:34">
      <c r="A59" s="181"/>
      <c r="B59" s="2" t="s">
        <v>645</v>
      </c>
      <c r="C59" s="38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1:34">
      <c r="A60" s="2"/>
      <c r="B60" s="2"/>
      <c r="C60" s="38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4" t="s">
        <v>368</v>
      </c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1:34">
      <c r="A61" s="2" t="s">
        <v>270</v>
      </c>
      <c r="B61" s="2"/>
      <c r="C61" s="38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1:34">
      <c r="A62" s="2" t="s">
        <v>305</v>
      </c>
      <c r="B62" s="2"/>
      <c r="C62" s="38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134" t="s">
        <v>248</v>
      </c>
      <c r="T62" s="135" t="s">
        <v>249</v>
      </c>
      <c r="U62" s="68" t="s">
        <v>254</v>
      </c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1:34">
      <c r="A63" s="2"/>
      <c r="B63" s="2"/>
      <c r="C63" s="38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69">
        <v>1</v>
      </c>
      <c r="T63" s="131" t="s">
        <v>256</v>
      </c>
      <c r="U63" s="132">
        <v>1.054571596E-34</v>
      </c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1:34">
      <c r="A64" s="2"/>
      <c r="B64" s="2"/>
      <c r="C64" s="38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74">
        <v>2</v>
      </c>
      <c r="T64" s="78" t="s">
        <v>339</v>
      </c>
      <c r="U64" s="133">
        <v>1.0545919E-34</v>
      </c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1:34">
      <c r="A65" s="2"/>
      <c r="B65" s="2"/>
      <c r="C65" s="38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74">
        <v>3</v>
      </c>
      <c r="T65" s="78" t="s">
        <v>340</v>
      </c>
      <c r="U65" s="133">
        <v>1.0545887E-34</v>
      </c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1:34">
      <c r="A66" s="2"/>
      <c r="B66" s="2"/>
      <c r="C66" s="38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87">
        <v>4</v>
      </c>
      <c r="T66" s="149" t="s">
        <v>734</v>
      </c>
      <c r="U66" s="150">
        <v>1.0545718E-34</v>
      </c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1:34">
      <c r="A67" s="2"/>
      <c r="B67" s="2"/>
      <c r="C67" s="38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1:34">
      <c r="A68" s="2"/>
      <c r="B68" s="2"/>
      <c r="C68" s="38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  <row r="69" spans="1:34">
      <c r="A69" s="2"/>
      <c r="B69" s="2"/>
      <c r="C69" s="38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4" t="s">
        <v>341</v>
      </c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</row>
    <row r="70" spans="1:34">
      <c r="A70" s="2"/>
      <c r="B70" s="2"/>
      <c r="C70" s="38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</row>
    <row r="71" spans="1:34">
      <c r="A71" s="2"/>
      <c r="B71" s="2"/>
      <c r="C71" s="38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134" t="s">
        <v>248</v>
      </c>
      <c r="T71" s="135" t="s">
        <v>249</v>
      </c>
      <c r="U71" s="68" t="s">
        <v>254</v>
      </c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</row>
    <row r="72" spans="1:34">
      <c r="A72" s="2"/>
      <c r="B72" s="2"/>
      <c r="C72" s="38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69">
        <v>1</v>
      </c>
      <c r="T72" s="131" t="s">
        <v>256</v>
      </c>
      <c r="U72" s="132">
        <v>5.6095892000000003E+29</v>
      </c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</row>
    <row r="73" spans="1:34">
      <c r="A73" s="2"/>
      <c r="B73" s="2"/>
      <c r="C73" s="38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74">
        <v>2</v>
      </c>
      <c r="T73" s="78" t="s">
        <v>339</v>
      </c>
      <c r="U73" s="133">
        <v>5.6095369999999998E+29</v>
      </c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</row>
    <row r="74" spans="1:34">
      <c r="A74" s="2"/>
      <c r="B74" s="2"/>
      <c r="C74" s="38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74">
        <v>3</v>
      </c>
      <c r="T74" s="78" t="s">
        <v>340</v>
      </c>
      <c r="U74" s="133">
        <v>5.6095449999999997E+29</v>
      </c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</row>
    <row r="75" spans="1:34">
      <c r="A75" s="2"/>
      <c r="B75" s="2"/>
      <c r="C75" s="38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87">
        <v>4</v>
      </c>
      <c r="T75" s="149" t="s">
        <v>277</v>
      </c>
      <c r="U75" s="150" t="s">
        <v>343</v>
      </c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</row>
    <row r="76" spans="1:34">
      <c r="A76" s="2"/>
      <c r="B76" s="2"/>
      <c r="C76" s="38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</row>
    <row r="77" spans="1:34">
      <c r="A77" s="2"/>
      <c r="B77" s="2"/>
      <c r="C77" s="38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16"/>
      <c r="S77" s="216"/>
      <c r="T77" s="216"/>
      <c r="U77" s="216"/>
      <c r="V77" s="216"/>
      <c r="W77" s="216"/>
      <c r="X77" s="216"/>
      <c r="Y77" s="216"/>
      <c r="Z77" s="216"/>
      <c r="AA77" s="2"/>
      <c r="AB77" s="2"/>
      <c r="AC77" s="2"/>
      <c r="AD77" s="2"/>
      <c r="AE77" s="2"/>
      <c r="AF77" s="2"/>
      <c r="AG77" s="2"/>
      <c r="AH77" s="2"/>
    </row>
    <row r="78" spans="1:34">
      <c r="A78" s="2"/>
      <c r="B78" s="2"/>
      <c r="C78" s="38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4" t="s">
        <v>577</v>
      </c>
      <c r="T78" s="2"/>
      <c r="U78" s="2"/>
      <c r="V78" s="2"/>
      <c r="W78" s="216"/>
      <c r="X78" s="216"/>
      <c r="Y78" s="216"/>
      <c r="Z78" s="216"/>
      <c r="AA78" s="2"/>
      <c r="AB78" s="2"/>
      <c r="AC78" s="2"/>
      <c r="AD78" s="2"/>
      <c r="AE78" s="2"/>
      <c r="AF78" s="2"/>
      <c r="AG78" s="2"/>
      <c r="AH78" s="2"/>
    </row>
    <row r="79" spans="1:34">
      <c r="A79" s="2"/>
      <c r="B79" s="2"/>
      <c r="C79" s="38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16"/>
      <c r="X79" s="216"/>
      <c r="Y79" s="216"/>
      <c r="Z79" s="216"/>
      <c r="AA79" s="2"/>
      <c r="AB79" s="2"/>
      <c r="AC79" s="2"/>
      <c r="AD79" s="2"/>
      <c r="AE79" s="2"/>
      <c r="AF79" s="2"/>
      <c r="AG79" s="2"/>
      <c r="AH79" s="2"/>
    </row>
    <row r="80" spans="1:34">
      <c r="A80" s="2"/>
      <c r="B80" s="2"/>
      <c r="C80" s="38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17"/>
      <c r="S80" s="134" t="s">
        <v>248</v>
      </c>
      <c r="T80" s="135" t="s">
        <v>249</v>
      </c>
      <c r="U80" s="68" t="s">
        <v>584</v>
      </c>
      <c r="V80" s="68" t="s">
        <v>579</v>
      </c>
      <c r="W80" s="216"/>
      <c r="X80" s="216"/>
      <c r="Y80" s="216"/>
      <c r="Z80" s="216"/>
      <c r="AA80" s="2"/>
      <c r="AB80" s="2"/>
      <c r="AC80" s="2"/>
      <c r="AD80" s="2"/>
      <c r="AE80" s="2"/>
      <c r="AF80" s="2"/>
      <c r="AG80" s="2"/>
      <c r="AH80" s="2"/>
    </row>
    <row r="81" spans="1:34">
      <c r="A81" s="2"/>
      <c r="B81" s="2"/>
      <c r="C81" s="38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17"/>
      <c r="S81" s="69">
        <v>1</v>
      </c>
      <c r="T81" s="131" t="s">
        <v>580</v>
      </c>
      <c r="U81" s="131">
        <v>5.0813949999999997E-2</v>
      </c>
      <c r="V81" s="253">
        <v>1.0000000000000001E-9</v>
      </c>
      <c r="W81" s="216"/>
      <c r="X81" s="216"/>
      <c r="Y81" s="216"/>
      <c r="Z81" s="216"/>
      <c r="AA81" s="2"/>
      <c r="AB81" s="2"/>
      <c r="AC81" s="2"/>
      <c r="AD81" s="2"/>
      <c r="AE81" s="2"/>
      <c r="AF81" s="2"/>
      <c r="AG81" s="2"/>
      <c r="AH81" s="2"/>
    </row>
    <row r="82" spans="1:34">
      <c r="A82" s="2"/>
      <c r="B82" s="2"/>
      <c r="C82" s="38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17"/>
      <c r="S82" s="74">
        <v>2</v>
      </c>
      <c r="T82" s="78" t="s">
        <v>583</v>
      </c>
      <c r="U82" s="78">
        <v>0</v>
      </c>
      <c r="V82" s="126">
        <v>0</v>
      </c>
      <c r="W82" s="216"/>
      <c r="X82" s="216"/>
      <c r="Y82" s="216"/>
      <c r="Z82" s="216"/>
      <c r="AA82" s="2"/>
      <c r="AB82" s="2"/>
      <c r="AC82" s="2"/>
      <c r="AD82" s="2"/>
      <c r="AE82" s="2"/>
      <c r="AF82" s="2"/>
      <c r="AG82" s="2"/>
      <c r="AH82" s="2"/>
    </row>
    <row r="83" spans="1:34">
      <c r="A83" s="2"/>
      <c r="B83" s="2"/>
      <c r="C83" s="38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17"/>
      <c r="S83" s="74">
        <v>3</v>
      </c>
      <c r="T83" s="155" t="s">
        <v>277</v>
      </c>
      <c r="U83" s="251" t="s">
        <v>343</v>
      </c>
      <c r="V83" s="126">
        <v>0</v>
      </c>
      <c r="W83" s="216"/>
      <c r="X83" s="216"/>
      <c r="Y83" s="216"/>
      <c r="Z83" s="216"/>
      <c r="AA83" s="2"/>
      <c r="AB83" s="2"/>
      <c r="AC83" s="2"/>
      <c r="AD83" s="2"/>
      <c r="AE83" s="2"/>
      <c r="AF83" s="2"/>
      <c r="AG83" s="2"/>
      <c r="AH83" s="2"/>
    </row>
    <row r="84" spans="1:34">
      <c r="A84" s="2"/>
      <c r="B84" s="2"/>
      <c r="C84" s="38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17"/>
      <c r="S84" s="87">
        <v>4</v>
      </c>
      <c r="T84" s="149" t="s">
        <v>277</v>
      </c>
      <c r="U84" s="252" t="s">
        <v>343</v>
      </c>
      <c r="V84" s="254">
        <v>0</v>
      </c>
      <c r="W84" s="216"/>
      <c r="X84" s="216"/>
      <c r="Y84" s="216"/>
      <c r="Z84" s="216"/>
      <c r="AA84" s="2"/>
      <c r="AB84" s="2"/>
      <c r="AC84" s="2"/>
      <c r="AD84" s="2"/>
      <c r="AE84" s="2"/>
      <c r="AF84" s="2"/>
      <c r="AG84" s="2"/>
      <c r="AH84" s="2"/>
    </row>
    <row r="85" spans="1:34">
      <c r="A85" s="2"/>
      <c r="B85" s="2"/>
      <c r="C85" s="38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</row>
    <row r="86" spans="1:34">
      <c r="A86" s="2"/>
      <c r="B86" s="2"/>
      <c r="C86" s="38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4" t="s">
        <v>736</v>
      </c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</row>
    <row r="87" spans="1:34">
      <c r="A87" s="2"/>
      <c r="B87" s="2"/>
      <c r="C87" s="38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</row>
    <row r="88" spans="1:34">
      <c r="A88" s="2"/>
      <c r="B88" s="2"/>
      <c r="C88" s="38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134" t="s">
        <v>248</v>
      </c>
      <c r="T88" s="135" t="s">
        <v>249</v>
      </c>
      <c r="U88" s="68" t="s">
        <v>254</v>
      </c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</row>
    <row r="89" spans="1:34">
      <c r="A89" s="2"/>
      <c r="B89" s="2"/>
      <c r="C89" s="38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69">
        <v>1</v>
      </c>
      <c r="T89" s="264" t="s">
        <v>735</v>
      </c>
      <c r="U89" s="132">
        <v>1.2566369999999999E-6</v>
      </c>
      <c r="V89" s="265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</row>
    <row r="90" spans="1:34">
      <c r="A90" s="2"/>
      <c r="B90" s="2"/>
      <c r="C90" s="38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74">
        <v>2</v>
      </c>
      <c r="T90" s="266" t="s">
        <v>800</v>
      </c>
      <c r="U90" s="133">
        <f>4*PI()/10^7</f>
        <v>1.2566370614359173E-6</v>
      </c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</row>
    <row r="91" spans="1:34">
      <c r="A91" s="2"/>
      <c r="B91" s="2"/>
      <c r="C91" s="38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74">
        <v>3</v>
      </c>
      <c r="T91" s="78"/>
      <c r="U91" s="133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</row>
    <row r="92" spans="1:34">
      <c r="A92" s="2"/>
      <c r="B92" s="2"/>
      <c r="C92" s="38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87">
        <v>4</v>
      </c>
      <c r="T92" s="149" t="s">
        <v>277</v>
      </c>
      <c r="U92" s="150" t="s">
        <v>343</v>
      </c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</row>
    <row r="93" spans="1:34">
      <c r="A93" s="2"/>
      <c r="B93" s="2"/>
      <c r="C93" s="38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</row>
    <row r="94" spans="1:34">
      <c r="A94" s="2"/>
      <c r="B94" s="2"/>
      <c r="C94" s="38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4" t="s">
        <v>737</v>
      </c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</row>
    <row r="95" spans="1:34">
      <c r="A95" s="2"/>
      <c r="B95" s="2"/>
      <c r="C95" s="38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</row>
    <row r="96" spans="1:34">
      <c r="A96" s="2"/>
      <c r="B96" s="2"/>
      <c r="C96" s="38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134" t="s">
        <v>248</v>
      </c>
      <c r="T96" s="135" t="s">
        <v>249</v>
      </c>
      <c r="U96" s="68" t="s">
        <v>254</v>
      </c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</row>
    <row r="97" spans="1:34">
      <c r="A97" s="2"/>
      <c r="B97" s="2"/>
      <c r="C97" s="38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69">
        <v>1</v>
      </c>
      <c r="T97" s="264" t="s">
        <v>735</v>
      </c>
      <c r="U97" s="132">
        <v>8.8541878170000005E-12</v>
      </c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</row>
    <row r="98" spans="1:34">
      <c r="A98" s="2"/>
      <c r="B98" s="2"/>
      <c r="C98" s="38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74">
        <v>2</v>
      </c>
      <c r="T98" s="266" t="s">
        <v>801</v>
      </c>
      <c r="U98" s="133">
        <f>1/(U90*U37^2)</f>
        <v>8.8541878176203892E-12</v>
      </c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</row>
    <row r="99" spans="1:34">
      <c r="A99" s="2"/>
      <c r="B99" s="2"/>
      <c r="C99" s="38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74">
        <v>3</v>
      </c>
      <c r="T99" s="78"/>
      <c r="U99" s="133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</row>
    <row r="100" spans="1:34">
      <c r="A100" s="2"/>
      <c r="B100" s="2"/>
      <c r="C100" s="38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87">
        <v>4</v>
      </c>
      <c r="T100" s="149" t="s">
        <v>277</v>
      </c>
      <c r="U100" s="150" t="s">
        <v>343</v>
      </c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</row>
    <row r="101" spans="1:34">
      <c r="A101" s="2"/>
      <c r="B101" s="2"/>
      <c r="C101" s="38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</row>
    <row r="102" spans="1:34">
      <c r="A102" s="2"/>
      <c r="B102" s="2"/>
      <c r="C102" s="38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</row>
    <row r="103" spans="1:34">
      <c r="A103" s="2"/>
      <c r="B103" s="2"/>
      <c r="C103" s="38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  <ignoredErrors>
    <ignoredError sqref="AB15:AB17 AB10:AB11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E030D-35AE-43D0-A0EE-45AC0B0F50EF}">
  <sheetPr codeName="Tabelle7"/>
  <dimension ref="A1:I43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I30" activeCellId="3" sqref="I5:I6 I10:I14 I17:I21 I30:I33"/>
    </sheetView>
  </sheetViews>
  <sheetFormatPr baseColWidth="10" defaultRowHeight="12.75"/>
  <cols>
    <col min="1" max="1" width="24.28515625" bestFit="1" customWidth="1"/>
    <col min="2" max="2" width="27" bestFit="1" customWidth="1"/>
    <col min="3" max="3" width="16.42578125" bestFit="1" customWidth="1"/>
    <col min="4" max="4" width="13.140625" style="291" bestFit="1" customWidth="1"/>
    <col min="5" max="5" width="14.42578125" bestFit="1" customWidth="1"/>
    <col min="6" max="6" width="21.7109375" bestFit="1" customWidth="1"/>
    <col min="7" max="7" width="21.28515625" bestFit="1" customWidth="1"/>
    <col min="8" max="8" width="6.85546875" bestFit="1" customWidth="1"/>
  </cols>
  <sheetData>
    <row r="1" spans="1:9">
      <c r="A1" t="s">
        <v>756</v>
      </c>
    </row>
    <row r="2" spans="1:9">
      <c r="A2" t="s">
        <v>249</v>
      </c>
      <c r="B2" t="s">
        <v>776</v>
      </c>
      <c r="C2" t="s">
        <v>777</v>
      </c>
      <c r="D2" s="331" t="s">
        <v>250</v>
      </c>
      <c r="E2" t="s">
        <v>778</v>
      </c>
      <c r="F2" t="s">
        <v>779</v>
      </c>
      <c r="G2" t="s">
        <v>780</v>
      </c>
      <c r="H2" s="331" t="s">
        <v>250</v>
      </c>
      <c r="I2" t="s">
        <v>778</v>
      </c>
    </row>
    <row r="3" spans="1:9">
      <c r="A3" t="str">
        <f>Elementarteilchen!E175</f>
        <v>o-- (1982)</v>
      </c>
      <c r="B3" s="291">
        <f>Elementarteilchen!D174</f>
        <v>3761.2733480992224</v>
      </c>
      <c r="C3" s="291">
        <f>Elementarteilchen!D175</f>
        <v>0</v>
      </c>
      <c r="D3" s="291">
        <f>Elementarteilchen!F175</f>
        <v>0</v>
      </c>
      <c r="E3" s="291">
        <f>Elementarteilchen!D177</f>
        <v>100</v>
      </c>
      <c r="F3" s="291">
        <f>Elementarteilchen!D192</f>
        <v>-4.6431685374918777E-26</v>
      </c>
      <c r="G3" s="291">
        <f>Elementarteilchen!D193</f>
        <v>0</v>
      </c>
      <c r="H3" s="291">
        <f>Elementarteilchen!F193</f>
        <v>0</v>
      </c>
      <c r="I3" s="291">
        <f>Elementarteilchen!D194</f>
        <v>100</v>
      </c>
    </row>
    <row r="4" spans="1:9">
      <c r="B4" s="291"/>
      <c r="C4" s="291"/>
      <c r="E4" s="291"/>
      <c r="F4" s="291"/>
      <c r="G4" s="291"/>
      <c r="H4" s="291"/>
      <c r="I4" s="291"/>
    </row>
    <row r="5" spans="1:9">
      <c r="A5" s="70" t="s">
        <v>740</v>
      </c>
      <c r="B5" s="292">
        <v>548.7811426197909</v>
      </c>
      <c r="C5" s="326">
        <v>547.85299999999995</v>
      </c>
      <c r="D5" s="326" t="s">
        <v>783</v>
      </c>
      <c r="E5" s="312">
        <v>0.1691280089108238</v>
      </c>
      <c r="F5" s="293">
        <v>2.3382405818953605E-19</v>
      </c>
      <c r="G5" s="293">
        <v>5.0000000000000004E-19</v>
      </c>
      <c r="H5" s="332" t="s">
        <v>783</v>
      </c>
      <c r="I5" s="293">
        <v>113.83599441025174</v>
      </c>
    </row>
    <row r="6" spans="1:9">
      <c r="A6" s="70" t="s">
        <v>741</v>
      </c>
      <c r="B6" s="292">
        <v>493.69726511505729</v>
      </c>
      <c r="C6" s="326">
        <v>493.67700000000002</v>
      </c>
      <c r="D6" s="326" t="s">
        <v>783</v>
      </c>
      <c r="E6" s="312">
        <v>4.1047655089943014E-3</v>
      </c>
      <c r="F6" s="293">
        <v>1.2371221136630449E-8</v>
      </c>
      <c r="G6" s="293">
        <v>1.2380000000000001E-8</v>
      </c>
      <c r="H6" s="293" t="s">
        <v>783</v>
      </c>
      <c r="I6" s="293">
        <v>7.0961979198291836E-2</v>
      </c>
    </row>
    <row r="7" spans="1:9">
      <c r="A7" s="88" t="s">
        <v>742</v>
      </c>
      <c r="B7" s="294">
        <v>497.70587544185622</v>
      </c>
      <c r="C7" s="327">
        <v>497.61399999999998</v>
      </c>
      <c r="D7" s="327" t="s">
        <v>783</v>
      </c>
      <c r="E7" s="313">
        <v>1.8459786470204076E-2</v>
      </c>
      <c r="F7" s="330" t="s">
        <v>401</v>
      </c>
      <c r="G7" s="330" t="s">
        <v>401</v>
      </c>
      <c r="H7" s="330" t="s">
        <v>401</v>
      </c>
      <c r="I7" s="330" t="s">
        <v>401</v>
      </c>
    </row>
    <row r="8" spans="1:9">
      <c r="A8" s="70" t="s">
        <v>4</v>
      </c>
      <c r="B8" s="292">
        <v>0.51615273345391854</v>
      </c>
      <c r="C8" s="293" t="s">
        <v>401</v>
      </c>
      <c r="D8" s="293" t="s">
        <v>401</v>
      </c>
      <c r="E8" s="312" t="s">
        <v>401</v>
      </c>
      <c r="F8" s="293" t="s">
        <v>401</v>
      </c>
      <c r="G8" s="293" t="s">
        <v>401</v>
      </c>
      <c r="H8" s="293" t="s">
        <v>401</v>
      </c>
      <c r="I8" s="293" t="s">
        <v>401</v>
      </c>
    </row>
    <row r="9" spans="1:9">
      <c r="A9" s="88" t="s">
        <v>743</v>
      </c>
      <c r="B9" s="294">
        <v>0.5109858460605422</v>
      </c>
      <c r="C9" s="328">
        <v>0.51099894609999996</v>
      </c>
      <c r="D9" s="336" t="s">
        <v>734</v>
      </c>
      <c r="E9" s="313">
        <v>2.563679514566708E-3</v>
      </c>
      <c r="F9" s="295" t="s">
        <v>401</v>
      </c>
      <c r="G9" s="295" t="s">
        <v>401</v>
      </c>
      <c r="H9" s="295" t="s">
        <v>401</v>
      </c>
      <c r="I9" s="295" t="s">
        <v>401</v>
      </c>
    </row>
    <row r="10" spans="1:9">
      <c r="A10" s="88" t="s">
        <v>744</v>
      </c>
      <c r="B10" s="294">
        <v>105.65584979541082</v>
      </c>
      <c r="C10" s="329">
        <v>105.65837449999999</v>
      </c>
      <c r="D10" s="329" t="s">
        <v>734</v>
      </c>
      <c r="E10" s="313">
        <v>2.3895549503993863E-3</v>
      </c>
      <c r="F10" s="295">
        <v>2.19946600851041E-6</v>
      </c>
      <c r="G10" s="295">
        <v>2.1969810999999999E-6</v>
      </c>
      <c r="H10" s="346" t="s">
        <v>783</v>
      </c>
      <c r="I10" s="295">
        <v>0.11297780919528044</v>
      </c>
    </row>
    <row r="11" spans="1:9">
      <c r="A11" s="95" t="s">
        <v>745</v>
      </c>
      <c r="B11" s="296">
        <v>139.56356912066565</v>
      </c>
      <c r="C11" s="297">
        <v>139.57017999999999</v>
      </c>
      <c r="D11" s="297" t="s">
        <v>783</v>
      </c>
      <c r="E11" s="314">
        <v>4.7368230663646926E-3</v>
      </c>
      <c r="F11" s="297">
        <v>2.6028789323678119E-8</v>
      </c>
      <c r="G11" s="297">
        <v>2.6032999999999999E-8</v>
      </c>
      <c r="H11" s="297" t="s">
        <v>783</v>
      </c>
      <c r="I11" s="297">
        <v>1.6176996438521662E-2</v>
      </c>
    </row>
    <row r="12" spans="1:9">
      <c r="A12" s="95" t="s">
        <v>746</v>
      </c>
      <c r="B12" s="296">
        <v>134.95539782727684</v>
      </c>
      <c r="C12" s="297">
        <v>134.97659999999999</v>
      </c>
      <c r="D12" s="297" t="s">
        <v>783</v>
      </c>
      <c r="E12" s="314">
        <v>1.5710503666022113E-2</v>
      </c>
      <c r="F12" s="297">
        <v>8.4018005424364491E-17</v>
      </c>
      <c r="G12" s="297">
        <v>8.3999999999999997E-17</v>
      </c>
      <c r="H12" s="297" t="s">
        <v>783</v>
      </c>
      <c r="I12" s="297">
        <v>2.1430435385305646E-2</v>
      </c>
    </row>
    <row r="13" spans="1:9">
      <c r="A13" s="102" t="s">
        <v>770</v>
      </c>
      <c r="B13" s="298">
        <v>1115.5612606744048</v>
      </c>
      <c r="C13" s="299">
        <v>1115.683</v>
      </c>
      <c r="D13" s="299" t="s">
        <v>783</v>
      </c>
      <c r="E13" s="315">
        <v>1.0912831942699874E-2</v>
      </c>
      <c r="F13" s="299">
        <v>2.5780402722788072E-10</v>
      </c>
      <c r="G13" s="299">
        <v>2.6319999999999998E-10</v>
      </c>
      <c r="H13" s="299" t="s">
        <v>783</v>
      </c>
      <c r="I13" s="299">
        <v>2.0930521645224687</v>
      </c>
    </row>
    <row r="14" spans="1:9">
      <c r="A14" s="109" t="s">
        <v>769</v>
      </c>
      <c r="B14" s="300">
        <v>1672.1176549086683</v>
      </c>
      <c r="C14" s="301">
        <v>1672.45</v>
      </c>
      <c r="D14" s="301" t="s">
        <v>783</v>
      </c>
      <c r="E14" s="316">
        <v>1.9875700155203013E-2</v>
      </c>
      <c r="F14" s="301">
        <v>1.3176698290660324E-10</v>
      </c>
      <c r="G14" s="301">
        <v>8.2100000000000006E-11</v>
      </c>
      <c r="H14" s="301" t="s">
        <v>783</v>
      </c>
      <c r="I14" s="301">
        <v>37.693041011500817</v>
      </c>
    </row>
    <row r="15" spans="1:9">
      <c r="A15" s="110" t="s">
        <v>773</v>
      </c>
      <c r="B15" s="302">
        <v>938.24730886972884</v>
      </c>
      <c r="C15" s="303">
        <v>938.27208129999997</v>
      </c>
      <c r="D15" s="303" t="s">
        <v>734</v>
      </c>
      <c r="E15" s="317">
        <v>2.6402879109710398E-3</v>
      </c>
      <c r="F15" s="303" t="s">
        <v>401</v>
      </c>
      <c r="G15" s="303" t="s">
        <v>401</v>
      </c>
      <c r="H15" s="303"/>
      <c r="I15" s="303" t="s">
        <v>401</v>
      </c>
    </row>
    <row r="16" spans="1:9">
      <c r="A16" s="115" t="s">
        <v>774</v>
      </c>
      <c r="B16" s="304">
        <v>939.54074048485995</v>
      </c>
      <c r="C16" s="305">
        <v>939.56541330000005</v>
      </c>
      <c r="D16" s="305" t="s">
        <v>734</v>
      </c>
      <c r="E16" s="318">
        <v>2.6260505880060236E-3</v>
      </c>
      <c r="F16" s="305" t="s">
        <v>401</v>
      </c>
      <c r="G16" s="305" t="s">
        <v>401</v>
      </c>
      <c r="H16" s="305"/>
      <c r="I16" s="305" t="s">
        <v>401</v>
      </c>
    </row>
    <row r="17" spans="1:9">
      <c r="A17" s="109" t="s">
        <v>785</v>
      </c>
      <c r="B17" s="300">
        <v>1314.8565276672966</v>
      </c>
      <c r="C17" s="301">
        <v>1314.86</v>
      </c>
      <c r="D17" s="301" t="s">
        <v>783</v>
      </c>
      <c r="E17" s="316">
        <v>2.6408453166482104E-4</v>
      </c>
      <c r="F17" s="301">
        <v>2.962003581078723E-10</v>
      </c>
      <c r="G17" s="301">
        <v>2.8999999999999998E-10</v>
      </c>
      <c r="H17" s="301" t="s">
        <v>783</v>
      </c>
      <c r="I17" s="301">
        <v>2.093298653479081</v>
      </c>
    </row>
    <row r="18" spans="1:9">
      <c r="A18" s="109" t="s">
        <v>786</v>
      </c>
      <c r="B18" s="300">
        <v>1321.2477979455148</v>
      </c>
      <c r="C18" s="301">
        <v>1321.71</v>
      </c>
      <c r="D18" s="301" t="s">
        <v>783</v>
      </c>
      <c r="E18" s="316">
        <v>3.498223839646375E-2</v>
      </c>
      <c r="F18" s="301">
        <v>1.6530834732444074E-10</v>
      </c>
      <c r="G18" s="301">
        <v>1.639E-10</v>
      </c>
      <c r="H18" s="301" t="s">
        <v>783</v>
      </c>
      <c r="I18" s="301">
        <v>0.85195172974336097</v>
      </c>
    </row>
    <row r="19" spans="1:9">
      <c r="A19" s="110" t="s">
        <v>787</v>
      </c>
      <c r="B19" s="302">
        <v>1189.3331761708553</v>
      </c>
      <c r="C19" s="303">
        <v>1189.3699999999999</v>
      </c>
      <c r="D19" s="303" t="s">
        <v>783</v>
      </c>
      <c r="E19" s="317">
        <v>3.0961743842983225E-3</v>
      </c>
      <c r="F19" s="303">
        <v>8.0072963666706048E-11</v>
      </c>
      <c r="G19" s="303">
        <v>8.0180000000000001E-11</v>
      </c>
      <c r="H19" s="303" t="s">
        <v>783</v>
      </c>
      <c r="I19" s="303">
        <v>0.1336735002584355</v>
      </c>
    </row>
    <row r="20" spans="1:9">
      <c r="A20" s="109" t="s">
        <v>788</v>
      </c>
      <c r="B20" s="300">
        <v>1192.4364796813882</v>
      </c>
      <c r="C20" s="301">
        <v>1192.6420000000001</v>
      </c>
      <c r="D20" s="301" t="s">
        <v>783</v>
      </c>
      <c r="E20" s="316">
        <v>1.7235326335107715E-2</v>
      </c>
      <c r="F20" s="301">
        <v>4.2908849213840083E-15</v>
      </c>
      <c r="G20" s="301">
        <v>7.4000000000000001E-20</v>
      </c>
      <c r="H20" s="301" t="s">
        <v>783</v>
      </c>
      <c r="I20" s="301">
        <v>99.998275414014699</v>
      </c>
    </row>
    <row r="21" spans="1:9">
      <c r="A21" s="115" t="s">
        <v>789</v>
      </c>
      <c r="B21" s="304">
        <v>1197.2632361429769</v>
      </c>
      <c r="C21" s="305">
        <v>1197.4490000000001</v>
      </c>
      <c r="D21" s="305" t="s">
        <v>783</v>
      </c>
      <c r="E21" s="318">
        <v>1.5515707107294219E-2</v>
      </c>
      <c r="F21" s="305">
        <v>1.481755468625331E-10</v>
      </c>
      <c r="G21" s="305">
        <v>1.479E-10</v>
      </c>
      <c r="H21" s="305" t="s">
        <v>783</v>
      </c>
      <c r="I21" s="305">
        <v>0.18595974056956344</v>
      </c>
    </row>
    <row r="22" spans="1:9">
      <c r="A22" s="109" t="s">
        <v>464</v>
      </c>
      <c r="B22" s="300">
        <v>1234.4384120028526</v>
      </c>
      <c r="C22" s="301" t="s">
        <v>401</v>
      </c>
      <c r="D22" s="301" t="s">
        <v>401</v>
      </c>
      <c r="E22" s="316" t="s">
        <v>401</v>
      </c>
      <c r="F22" s="301" t="s">
        <v>401</v>
      </c>
      <c r="G22" s="301" t="s">
        <v>401</v>
      </c>
      <c r="H22" s="301" t="s">
        <v>401</v>
      </c>
      <c r="I22" s="301" t="s">
        <v>401</v>
      </c>
    </row>
    <row r="23" spans="1:9">
      <c r="A23" s="109" t="s">
        <v>262</v>
      </c>
      <c r="B23" s="300">
        <v>1234.5673312097936</v>
      </c>
      <c r="C23" s="301" t="s">
        <v>401</v>
      </c>
      <c r="D23" s="301" t="s">
        <v>401</v>
      </c>
      <c r="E23" s="316" t="s">
        <v>401</v>
      </c>
      <c r="F23" s="301" t="s">
        <v>401</v>
      </c>
      <c r="G23" s="301" t="s">
        <v>401</v>
      </c>
      <c r="H23" s="301" t="s">
        <v>401</v>
      </c>
      <c r="I23" s="301" t="s">
        <v>401</v>
      </c>
    </row>
    <row r="24" spans="1:9">
      <c r="A24" s="109" t="s">
        <v>261</v>
      </c>
      <c r="B24" s="300">
        <v>1233.7226176000474</v>
      </c>
      <c r="C24" s="301" t="s">
        <v>401</v>
      </c>
      <c r="D24" s="301" t="s">
        <v>401</v>
      </c>
      <c r="E24" s="316" t="s">
        <v>401</v>
      </c>
      <c r="F24" s="301" t="s">
        <v>401</v>
      </c>
      <c r="G24" s="301" t="s">
        <v>401</v>
      </c>
      <c r="H24" s="301" t="s">
        <v>401</v>
      </c>
      <c r="I24" s="301" t="s">
        <v>401</v>
      </c>
    </row>
    <row r="25" spans="1:9">
      <c r="A25" s="109" t="s">
        <v>259</v>
      </c>
      <c r="B25" s="300">
        <v>1229.9529779516879</v>
      </c>
      <c r="C25" s="301" t="s">
        <v>401</v>
      </c>
      <c r="D25" s="301" t="s">
        <v>401</v>
      </c>
      <c r="E25" s="316" t="s">
        <v>401</v>
      </c>
      <c r="F25" s="301" t="s">
        <v>401</v>
      </c>
      <c r="G25" s="301" t="s">
        <v>401</v>
      </c>
      <c r="H25" s="301" t="s">
        <v>401</v>
      </c>
      <c r="I25" s="301" t="s">
        <v>401</v>
      </c>
    </row>
    <row r="26" spans="1:9">
      <c r="A26" s="172" t="s">
        <v>467</v>
      </c>
      <c r="B26" s="306">
        <v>3761.2733480992224</v>
      </c>
      <c r="C26" s="307" t="s">
        <v>401</v>
      </c>
      <c r="D26" s="307" t="s">
        <v>401</v>
      </c>
      <c r="E26" s="319" t="s">
        <v>401</v>
      </c>
      <c r="F26" s="307" t="s">
        <v>401</v>
      </c>
      <c r="G26" s="307" t="s">
        <v>401</v>
      </c>
      <c r="H26" s="307" t="s">
        <v>401</v>
      </c>
      <c r="I26" s="307" t="s">
        <v>401</v>
      </c>
    </row>
    <row r="27" spans="1:9">
      <c r="A27" s="173" t="s">
        <v>468</v>
      </c>
      <c r="B27" s="308">
        <v>3673.8253479429241</v>
      </c>
      <c r="C27" s="309" t="s">
        <v>401</v>
      </c>
      <c r="D27" s="309" t="s">
        <v>401</v>
      </c>
      <c r="E27" s="320" t="s">
        <v>401</v>
      </c>
      <c r="F27" s="309" t="s">
        <v>401</v>
      </c>
      <c r="G27" s="309" t="s">
        <v>401</v>
      </c>
      <c r="H27" s="309" t="s">
        <v>401</v>
      </c>
      <c r="I27" s="309" t="s">
        <v>401</v>
      </c>
    </row>
    <row r="28" spans="1:9">
      <c r="A28" s="173" t="s">
        <v>469</v>
      </c>
      <c r="B28" s="308">
        <v>3907.8904622110576</v>
      </c>
      <c r="C28" s="309" t="s">
        <v>401</v>
      </c>
      <c r="D28" s="309" t="s">
        <v>401</v>
      </c>
      <c r="E28" s="320" t="s">
        <v>401</v>
      </c>
      <c r="F28" s="309" t="s">
        <v>401</v>
      </c>
      <c r="G28" s="309" t="s">
        <v>401</v>
      </c>
      <c r="H28" s="309" t="s">
        <v>401</v>
      </c>
      <c r="I28" s="309" t="s">
        <v>401</v>
      </c>
    </row>
    <row r="29" spans="1:9">
      <c r="A29" s="245" t="s">
        <v>470</v>
      </c>
      <c r="B29" s="310">
        <v>3860.2572621947693</v>
      </c>
      <c r="C29" s="311" t="s">
        <v>401</v>
      </c>
      <c r="D29" s="311" t="s">
        <v>401</v>
      </c>
      <c r="E29" s="321" t="s">
        <v>401</v>
      </c>
      <c r="F29" s="311" t="s">
        <v>401</v>
      </c>
      <c r="G29" s="311" t="s">
        <v>401</v>
      </c>
      <c r="H29" s="311" t="s">
        <v>401</v>
      </c>
      <c r="I29" s="311" t="s">
        <v>401</v>
      </c>
    </row>
    <row r="30" spans="1:9">
      <c r="A30" s="172" t="s">
        <v>752</v>
      </c>
      <c r="B30" s="306">
        <v>1234.4384120028526</v>
      </c>
      <c r="C30" s="307">
        <v>1232</v>
      </c>
      <c r="D30" s="307" t="s">
        <v>783</v>
      </c>
      <c r="E30" s="319">
        <v>0.19753209063677613</v>
      </c>
      <c r="F30" s="307">
        <v>3.6853215618437024E-24</v>
      </c>
      <c r="G30" s="307">
        <v>5.6299999999999999E-24</v>
      </c>
      <c r="H30" s="307" t="s">
        <v>783</v>
      </c>
      <c r="I30" s="307">
        <v>52.76821589439291</v>
      </c>
    </row>
    <row r="31" spans="1:9">
      <c r="A31" s="173" t="s">
        <v>753</v>
      </c>
      <c r="B31" s="308">
        <v>1234.5673312097936</v>
      </c>
      <c r="C31" s="309">
        <v>1232</v>
      </c>
      <c r="D31" s="309" t="s">
        <v>783</v>
      </c>
      <c r="E31" s="320">
        <v>0.20795392400977386</v>
      </c>
      <c r="F31" s="309">
        <v>5.4830934934594754E-24</v>
      </c>
      <c r="G31" s="309">
        <v>5.6299999999999999E-24</v>
      </c>
      <c r="H31" s="309" t="s">
        <v>783</v>
      </c>
      <c r="I31" s="309">
        <v>2.6792632063590061</v>
      </c>
    </row>
    <row r="32" spans="1:9">
      <c r="A32" s="173" t="s">
        <v>754</v>
      </c>
      <c r="B32" s="308">
        <v>1233.7226176000474</v>
      </c>
      <c r="C32" s="309">
        <v>1232</v>
      </c>
      <c r="D32" s="309" t="s">
        <v>783</v>
      </c>
      <c r="E32" s="320">
        <v>0.13962762581093413</v>
      </c>
      <c r="F32" s="309">
        <v>4.9567243711268038E-24</v>
      </c>
      <c r="G32" s="309">
        <v>5.6299999999999999E-24</v>
      </c>
      <c r="H32" s="309" t="s">
        <v>783</v>
      </c>
      <c r="I32" s="309">
        <v>13.583075806979794</v>
      </c>
    </row>
    <row r="33" spans="1:9">
      <c r="A33" s="173" t="s">
        <v>775</v>
      </c>
      <c r="B33" s="308">
        <v>1229.9529779516879</v>
      </c>
      <c r="C33" s="309">
        <v>1232</v>
      </c>
      <c r="D33" s="309" t="s">
        <v>783</v>
      </c>
      <c r="E33" s="320">
        <v>0.16643091931214382</v>
      </c>
      <c r="F33" s="309">
        <v>6.4009500490988281E-24</v>
      </c>
      <c r="G33" s="309">
        <v>5.6299999999999999E-24</v>
      </c>
      <c r="H33" s="309" t="s">
        <v>783</v>
      </c>
      <c r="I33" s="309">
        <v>12.044306598008337</v>
      </c>
    </row>
    <row r="34" spans="1:9">
      <c r="A34" s="172" t="s">
        <v>641</v>
      </c>
      <c r="B34" s="306">
        <v>40504.250272477482</v>
      </c>
      <c r="C34" s="307" t="s">
        <v>401</v>
      </c>
      <c r="D34" s="307" t="s">
        <v>401</v>
      </c>
      <c r="E34" s="319" t="s">
        <v>401</v>
      </c>
      <c r="F34" s="307" t="s">
        <v>401</v>
      </c>
      <c r="G34" s="307" t="s">
        <v>401</v>
      </c>
      <c r="H34" s="307" t="s">
        <v>401</v>
      </c>
      <c r="I34" s="307" t="s">
        <v>401</v>
      </c>
    </row>
    <row r="35" spans="1:9">
      <c r="A35" s="173" t="s">
        <v>642</v>
      </c>
      <c r="B35" s="308">
        <v>39979.096709940437</v>
      </c>
      <c r="C35" s="309" t="s">
        <v>401</v>
      </c>
      <c r="D35" s="309" t="s">
        <v>401</v>
      </c>
      <c r="E35" s="320" t="s">
        <v>401</v>
      </c>
      <c r="F35" s="309" t="s">
        <v>401</v>
      </c>
      <c r="G35" s="309" t="s">
        <v>401</v>
      </c>
      <c r="H35" s="309" t="s">
        <v>401</v>
      </c>
      <c r="I35" s="309" t="s">
        <v>401</v>
      </c>
    </row>
    <row r="36" spans="1:9">
      <c r="A36" s="173" t="s">
        <v>643</v>
      </c>
      <c r="B36" s="308">
        <v>39728.491163433369</v>
      </c>
      <c r="C36" s="309" t="s">
        <v>401</v>
      </c>
      <c r="D36" s="309" t="s">
        <v>401</v>
      </c>
      <c r="E36" s="320" t="s">
        <v>401</v>
      </c>
      <c r="F36" s="309" t="s">
        <v>401</v>
      </c>
      <c r="G36" s="309" t="s">
        <v>401</v>
      </c>
      <c r="H36" s="309" t="s">
        <v>401</v>
      </c>
      <c r="I36" s="309" t="s">
        <v>401</v>
      </c>
    </row>
    <row r="37" spans="1:9">
      <c r="A37" s="173" t="s">
        <v>644</v>
      </c>
      <c r="B37" s="308">
        <v>41196.119575816847</v>
      </c>
      <c r="C37" s="309" t="s">
        <v>401</v>
      </c>
      <c r="D37" s="309" t="s">
        <v>401</v>
      </c>
      <c r="E37" s="320" t="s">
        <v>401</v>
      </c>
      <c r="F37" s="309" t="s">
        <v>401</v>
      </c>
      <c r="G37" s="309" t="s">
        <v>401</v>
      </c>
      <c r="H37" s="309" t="s">
        <v>401</v>
      </c>
      <c r="I37" s="309" t="s">
        <v>401</v>
      </c>
    </row>
    <row r="38" spans="1:9">
      <c r="A38" s="245" t="s">
        <v>640</v>
      </c>
      <c r="B38" s="310">
        <v>40427.359613157329</v>
      </c>
      <c r="C38" s="311" t="s">
        <v>401</v>
      </c>
      <c r="D38" s="311" t="s">
        <v>401</v>
      </c>
      <c r="E38" s="321" t="s">
        <v>401</v>
      </c>
      <c r="F38" s="311" t="s">
        <v>401</v>
      </c>
      <c r="G38" s="311" t="s">
        <v>401</v>
      </c>
      <c r="H38" s="311" t="s">
        <v>401</v>
      </c>
      <c r="I38" s="311" t="s">
        <v>401</v>
      </c>
    </row>
    <row r="39" spans="1:9">
      <c r="A39" s="70" t="s">
        <v>661</v>
      </c>
      <c r="B39" s="292"/>
      <c r="C39" s="293"/>
      <c r="D39" s="293"/>
      <c r="E39" s="312"/>
      <c r="F39" s="293"/>
      <c r="G39" s="293"/>
      <c r="H39" s="293"/>
      <c r="I39" s="293"/>
    </row>
    <row r="40" spans="1:9">
      <c r="A40" s="95" t="s">
        <v>662</v>
      </c>
      <c r="B40" s="296"/>
      <c r="C40" s="297"/>
      <c r="D40" s="297"/>
      <c r="E40" s="314"/>
      <c r="F40" s="297"/>
      <c r="G40" s="297"/>
      <c r="H40" s="297"/>
      <c r="I40" s="297"/>
    </row>
    <row r="41" spans="1:9">
      <c r="A41" s="95" t="s">
        <v>663</v>
      </c>
      <c r="B41" s="296"/>
      <c r="C41" s="297"/>
      <c r="D41" s="297"/>
      <c r="E41" s="314"/>
      <c r="F41" s="297"/>
      <c r="G41" s="297"/>
      <c r="H41" s="297"/>
      <c r="I41" s="297"/>
    </row>
    <row r="42" spans="1:9">
      <c r="A42" s="95" t="s">
        <v>664</v>
      </c>
      <c r="B42" s="296"/>
      <c r="C42" s="297"/>
      <c r="D42" s="297"/>
      <c r="E42" s="314"/>
      <c r="F42" s="297"/>
      <c r="G42" s="297"/>
      <c r="H42" s="297"/>
      <c r="I42" s="297"/>
    </row>
    <row r="43" spans="1:9">
      <c r="A43" s="88" t="s">
        <v>665</v>
      </c>
      <c r="B43" s="294"/>
      <c r="C43" s="295"/>
      <c r="D43" s="295"/>
      <c r="E43" s="313"/>
      <c r="F43" s="295"/>
      <c r="G43" s="295"/>
      <c r="H43" s="295"/>
      <c r="I43" s="295"/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SpinButton1">
          <controlPr defaultSize="0" autoLine="0" linkedCell="Elementarteilchen!D16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1" r:id="rId4" name="Spin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6"/>
  <dimension ref="A1:C24"/>
  <sheetViews>
    <sheetView workbookViewId="0">
      <selection activeCell="D2" sqref="D2"/>
    </sheetView>
  </sheetViews>
  <sheetFormatPr baseColWidth="10" defaultRowHeight="12.75"/>
  <cols>
    <col min="1" max="1" width="9.85546875" style="12" customWidth="1"/>
    <col min="2" max="2" width="7.7109375" style="12" customWidth="1"/>
    <col min="3" max="3" width="98.5703125" style="12" customWidth="1"/>
    <col min="4" max="16384" width="11.42578125" style="12"/>
  </cols>
  <sheetData>
    <row r="1" spans="1:3">
      <c r="A1" s="50" t="s">
        <v>92</v>
      </c>
      <c r="B1" s="50" t="s">
        <v>90</v>
      </c>
      <c r="C1" s="50" t="s">
        <v>91</v>
      </c>
    </row>
    <row r="2" spans="1:3">
      <c r="A2" s="47"/>
      <c r="B2" s="47"/>
      <c r="C2" s="47"/>
    </row>
    <row r="3" spans="1:3">
      <c r="A3" s="47" t="s">
        <v>689</v>
      </c>
      <c r="B3" s="48" t="s">
        <v>690</v>
      </c>
      <c r="C3" s="47" t="s">
        <v>722</v>
      </c>
    </row>
    <row r="4" spans="1:3">
      <c r="A4" s="47" t="s">
        <v>688</v>
      </c>
      <c r="B4" s="48" t="s">
        <v>658</v>
      </c>
      <c r="C4" s="47" t="s">
        <v>723</v>
      </c>
    </row>
    <row r="5" spans="1:3">
      <c r="A5" s="47"/>
      <c r="B5" s="48"/>
      <c r="C5" s="47" t="s">
        <v>721</v>
      </c>
    </row>
    <row r="6" spans="1:3">
      <c r="A6" s="47"/>
      <c r="B6" s="47"/>
      <c r="C6" s="47" t="s">
        <v>687</v>
      </c>
    </row>
    <row r="7" spans="1:3">
      <c r="A7" s="47" t="s">
        <v>342</v>
      </c>
      <c r="B7" s="48" t="s">
        <v>473</v>
      </c>
      <c r="C7" s="47" t="s">
        <v>719</v>
      </c>
    </row>
    <row r="8" spans="1:3">
      <c r="A8" s="47"/>
      <c r="B8" s="48"/>
      <c r="C8" s="47" t="s">
        <v>317</v>
      </c>
    </row>
    <row r="9" spans="1:3">
      <c r="A9" s="47"/>
      <c r="B9" s="48"/>
      <c r="C9" s="47" t="s">
        <v>318</v>
      </c>
    </row>
    <row r="10" spans="1:3">
      <c r="A10" s="47"/>
      <c r="B10" s="48"/>
      <c r="C10" s="47" t="s">
        <v>386</v>
      </c>
    </row>
    <row r="11" spans="1:3">
      <c r="A11" s="47"/>
      <c r="B11" s="48"/>
      <c r="C11" s="47" t="s">
        <v>720</v>
      </c>
    </row>
    <row r="12" spans="1:3">
      <c r="A12" s="47"/>
      <c r="B12" s="48"/>
      <c r="C12" s="47"/>
    </row>
    <row r="13" spans="1:3">
      <c r="A13" s="47"/>
      <c r="B13" s="48"/>
      <c r="C13" s="47" t="s">
        <v>214</v>
      </c>
    </row>
    <row r="14" spans="1:3">
      <c r="A14" s="47"/>
      <c r="B14" s="47"/>
      <c r="C14" s="47"/>
    </row>
    <row r="15" spans="1:3">
      <c r="A15" s="47"/>
      <c r="B15" s="47"/>
      <c r="C15" s="47"/>
    </row>
    <row r="16" spans="1:3">
      <c r="A16" s="47"/>
      <c r="B16" s="47"/>
      <c r="C16" s="49" t="s">
        <v>192</v>
      </c>
    </row>
    <row r="17" spans="1:3">
      <c r="A17" s="47"/>
      <c r="B17" s="47"/>
      <c r="C17" s="49" t="s">
        <v>193</v>
      </c>
    </row>
    <row r="18" spans="1:3">
      <c r="A18" s="47"/>
      <c r="B18" s="47"/>
      <c r="C18" s="47"/>
    </row>
    <row r="19" spans="1:3">
      <c r="A19" s="47"/>
      <c r="B19" s="47"/>
      <c r="C19" s="48" t="s">
        <v>187</v>
      </c>
    </row>
    <row r="20" spans="1:3">
      <c r="A20" s="47"/>
      <c r="B20" s="47"/>
      <c r="C20" s="48" t="s">
        <v>188</v>
      </c>
    </row>
    <row r="21" spans="1:3">
      <c r="A21" s="47"/>
      <c r="B21" s="47"/>
      <c r="C21" s="48" t="s">
        <v>189</v>
      </c>
    </row>
    <row r="22" spans="1:3">
      <c r="A22" s="47"/>
      <c r="B22" s="47"/>
      <c r="C22" s="48" t="s">
        <v>190</v>
      </c>
    </row>
    <row r="23" spans="1:3">
      <c r="A23" s="47"/>
      <c r="B23" s="47"/>
      <c r="C23" s="48" t="s">
        <v>191</v>
      </c>
    </row>
    <row r="24" spans="1:3">
      <c r="A24" s="47"/>
      <c r="B24" s="47"/>
      <c r="C24" s="47"/>
    </row>
  </sheetData>
  <sheetProtection password="CA93" sheet="1" objects="1" scenarios="1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G28"/>
  <sheetViews>
    <sheetView workbookViewId="0">
      <selection activeCell="H1" sqref="H1"/>
    </sheetView>
  </sheetViews>
  <sheetFormatPr baseColWidth="10" defaultRowHeight="12.75"/>
  <cols>
    <col min="1" max="1" width="13" bestFit="1" customWidth="1"/>
    <col min="2" max="2" width="14.7109375" customWidth="1"/>
    <col min="3" max="3" width="14.140625" customWidth="1"/>
    <col min="4" max="4" width="14.28515625" customWidth="1"/>
    <col min="5" max="5" width="14.140625" customWidth="1"/>
    <col min="6" max="6" width="14.85546875" customWidth="1"/>
    <col min="7" max="7" width="34" customWidth="1"/>
  </cols>
  <sheetData>
    <row r="1" spans="1:7">
      <c r="A1" s="8" t="s">
        <v>45</v>
      </c>
      <c r="B1" s="6"/>
      <c r="C1" s="7"/>
      <c r="D1" s="6"/>
      <c r="E1" s="2"/>
      <c r="F1" s="2"/>
      <c r="G1" s="2"/>
    </row>
    <row r="2" spans="1:7">
      <c r="A2" s="2"/>
      <c r="B2" s="4"/>
      <c r="C2" s="3"/>
      <c r="D2" s="2"/>
      <c r="E2" s="2"/>
      <c r="F2" s="2"/>
      <c r="G2" s="2"/>
    </row>
    <row r="3" spans="1:7">
      <c r="A3" s="2" t="s">
        <v>717</v>
      </c>
      <c r="B3" s="4"/>
      <c r="C3" s="3"/>
      <c r="D3" s="2"/>
      <c r="E3" s="2"/>
      <c r="F3" s="2"/>
      <c r="G3" s="2"/>
    </row>
    <row r="4" spans="1:7">
      <c r="A4" s="2" t="s">
        <v>716</v>
      </c>
      <c r="B4" s="4"/>
      <c r="C4" s="3"/>
      <c r="D4" s="2"/>
      <c r="E4" s="2"/>
      <c r="F4" s="2"/>
      <c r="G4" s="2"/>
    </row>
    <row r="5" spans="1:7">
      <c r="A5" s="2" t="s">
        <v>96</v>
      </c>
      <c r="B5" s="4"/>
      <c r="C5" s="3"/>
      <c r="D5" s="2"/>
      <c r="E5" s="2"/>
      <c r="F5" s="2"/>
      <c r="G5" s="2"/>
    </row>
    <row r="6" spans="1:7">
      <c r="A6" s="2"/>
      <c r="B6" s="2"/>
      <c r="C6" s="3"/>
      <c r="D6" s="2"/>
      <c r="E6" s="2"/>
      <c r="F6" s="2"/>
      <c r="G6" s="2"/>
    </row>
    <row r="7" spans="1:7">
      <c r="A7" s="16">
        <f xml:space="preserve"> (pi*ebn*xi*xi)^2 *(1 - 4*pi*alfa^2) / (2 * eta^2)</f>
        <v>254.83393318010442</v>
      </c>
      <c r="B7" s="16">
        <f>2*pi*ebn*xi^2 * (theta / 8 - pi*ebn*eta*alfa^2/3) / 3</f>
        <v>14.790690290552197</v>
      </c>
      <c r="C7" s="16">
        <f>3*(4+eta*alfa) * (1 - eta^2/5*((1 - SQRT(eta))/ (1 +SQRT(eta)))^2)</f>
        <v>12.021658003024509</v>
      </c>
      <c r="D7" s="16">
        <f>(1+3*eta/(4*xi)*(2*eta*alfa - ebn^2*xi*((1 - SQRT(eta)) / (1 +SQRT(eta)))^2)) / alfa</f>
        <v>137.93982660687843</v>
      </c>
      <c r="E7" s="16">
        <f>ebn^2 * (1 - 2*ebn*alfa^2/eta) / 3</f>
        <v>2.4622984348364021</v>
      </c>
      <c r="F7" s="16">
        <f>(pi*ebn)^2 * (1 + alfa/(5*eta)*(1 + 6*alfa/pi))</f>
        <v>73.03607008690706</v>
      </c>
      <c r="G7" s="2" t="s">
        <v>84</v>
      </c>
    </row>
    <row r="8" spans="1:7">
      <c r="A8" s="16">
        <f>2*(ebn*alfa/(2*eta))^2 * (1 - alfa/(2*xi^2))</f>
        <v>2.0045765290550345E-4</v>
      </c>
      <c r="B8" s="16">
        <f>xi*(1 - xi*(alfa*xi/(eta^2))^2) / 12</f>
        <v>0.13480450088368687</v>
      </c>
      <c r="C8" s="16">
        <f>(eta^2 + 6*xi*alfa^2) / ebn</f>
        <v>0.36074127916841275</v>
      </c>
      <c r="D8" s="16">
        <f>2*xi^2 / (3*eta)</f>
        <v>1.7630042987676375</v>
      </c>
      <c r="E8" s="26">
        <f>xi*(pi*ebn)^2 * (1 - beta^2)</f>
        <v>6.2839126119805088E-3</v>
      </c>
      <c r="F8" s="16">
        <f>2*(1 - pi/2*(ebn*xi*alfa)^2 * SQRT(eta))/(ebn*xi^2)</f>
        <v>0.28058241495848557</v>
      </c>
      <c r="G8" s="2" t="s">
        <v>85</v>
      </c>
    </row>
    <row r="9" spans="1:7">
      <c r="A9" s="27">
        <f>(pi*ebn*alfa)^2 * (1 - (pi*ebn)^2*(1 - beta^2))</f>
        <v>3.8683826530630928E-3</v>
      </c>
      <c r="B9" s="16">
        <f>xi^2 * (1 + (2*ebn*alfa/eta)^2) / 6</f>
        <v>0.43703971462425678</v>
      </c>
      <c r="C9" s="27">
        <f>(pi*ebn*alfa*xi)^2 *(1 - 2*pi*(ebn*xi)^2*(1 - beta^2))</f>
        <v>1.0101232622378619E-2</v>
      </c>
      <c r="D9" s="16">
        <f>eta*SQRT(2*pi*eta)</f>
        <v>2.4690842517441571</v>
      </c>
      <c r="E9" s="16">
        <f>3*alfa/(ebn*xi^2)</f>
        <v>3.0762159647592124E-3</v>
      </c>
      <c r="F9" s="27">
        <f>1 / (1 - pi*ebn*(xi*ebn)^2*(1 - beta^2))</f>
        <v>1.008875647079986</v>
      </c>
      <c r="G9" s="2" t="s">
        <v>80</v>
      </c>
    </row>
    <row r="10" spans="1:7">
      <c r="A10" s="16">
        <f>(xi*(2 + (xi*alfa)^2 ) - 2*beta) / (2*beta - alfa)</f>
        <v>0.62045376040010491</v>
      </c>
      <c r="B10" s="16">
        <f>pi*xi^2*eta*(beta - 3*alfa) / 2</f>
        <v>3.981995546754475</v>
      </c>
      <c r="C10" s="16">
        <f>xi / 2</f>
        <v>0.80901699437494745</v>
      </c>
      <c r="D10" s="16">
        <f>2 *eta^2 / xi^2</f>
        <v>0.74871410618896961</v>
      </c>
      <c r="E10" s="16">
        <f>(3*beta - alfa) / (6*xi)</f>
        <v>0.30825709738813545</v>
      </c>
      <c r="F10" s="16">
        <f>pi*ebn/(xi*eta) - ebn*eta^2*alfa/2</f>
        <v>5.3214928089455169</v>
      </c>
      <c r="G10" s="2" t="s">
        <v>81</v>
      </c>
    </row>
    <row r="11" spans="1:7">
      <c r="A11" s="16">
        <f>(2*alfa + 1)^2</f>
        <v>1.0294024156835133</v>
      </c>
      <c r="B11" s="16">
        <f>6*alfa / eta^2</f>
        <v>4.4674045210576378E-2</v>
      </c>
      <c r="C11" s="16">
        <f>(xi/eta)^3</f>
        <v>4.3658717123551911</v>
      </c>
      <c r="D11" s="16">
        <f>alfa*(beta - alfa) * SQRT(3/2)</f>
        <v>8.8719378271028722E-3</v>
      </c>
      <c r="E11" s="16">
        <f>xi^3</f>
        <v>4.2360679774997898</v>
      </c>
      <c r="F11" s="16">
        <f>(xi/eta)^4</f>
        <v>7.1355583228789525</v>
      </c>
      <c r="G11" s="2" t="s">
        <v>82</v>
      </c>
    </row>
    <row r="12" spans="1:7">
      <c r="A12" s="16">
        <f>pi*xi*(2*beta - alfa) / (12*beta)</f>
        <v>0.8441093722814853</v>
      </c>
      <c r="B12" s="16">
        <f>pi^2*(beta - 2*alfa) / 12</f>
        <v>0.81044146939023254</v>
      </c>
      <c r="C12" s="16">
        <f>SQRT(eta) / 9</f>
        <v>0.11055358126765044</v>
      </c>
      <c r="D12" s="16">
        <f>pi / (3*eta)</f>
        <v>1.0577863727239696</v>
      </c>
      <c r="E12" s="16">
        <f>pi / (3*xi)</f>
        <v>0.64720367957515545</v>
      </c>
      <c r="F12" s="16">
        <f>xi*eta</f>
        <v>1.6018368873559961</v>
      </c>
      <c r="G12" s="2" t="s">
        <v>83</v>
      </c>
    </row>
    <row r="13" spans="1:7">
      <c r="A13" s="2"/>
      <c r="B13" s="2"/>
      <c r="C13" s="2"/>
      <c r="D13" s="2"/>
      <c r="E13" s="2"/>
      <c r="F13" s="2"/>
      <c r="G13" s="2"/>
    </row>
    <row r="14" spans="1:7">
      <c r="A14" s="2" t="s">
        <v>113</v>
      </c>
      <c r="B14" s="2"/>
      <c r="C14" s="2"/>
      <c r="D14" s="2"/>
      <c r="E14" s="2"/>
      <c r="F14" s="2"/>
      <c r="G14" s="2"/>
    </row>
    <row r="15" spans="1:7">
      <c r="A15" s="24"/>
      <c r="B15" s="2" t="s">
        <v>114</v>
      </c>
      <c r="C15" s="2"/>
      <c r="D15" s="2"/>
      <c r="E15" s="2"/>
      <c r="F15" s="2"/>
      <c r="G15" s="2"/>
    </row>
    <row r="16" spans="1:7">
      <c r="A16" s="2"/>
      <c r="B16" s="2" t="s">
        <v>115</v>
      </c>
      <c r="C16" s="2"/>
      <c r="D16" s="2"/>
      <c r="E16" s="2"/>
      <c r="F16" s="2"/>
      <c r="G16" s="2"/>
    </row>
    <row r="17" spans="1:7">
      <c r="A17" s="2"/>
      <c r="B17" s="2" t="s">
        <v>127</v>
      </c>
      <c r="C17" s="2"/>
      <c r="D17" s="2"/>
      <c r="E17" s="2"/>
      <c r="F17" s="2"/>
      <c r="G17" s="2"/>
    </row>
    <row r="18" spans="1:7">
      <c r="A18" s="2"/>
      <c r="B18" s="2"/>
      <c r="C18" s="2"/>
      <c r="D18" s="2"/>
      <c r="E18" s="2"/>
      <c r="F18" s="2"/>
      <c r="G18" s="2"/>
    </row>
    <row r="19" spans="1:7">
      <c r="A19" s="2" t="s">
        <v>170</v>
      </c>
      <c r="B19" s="2"/>
      <c r="C19" s="2"/>
      <c r="D19" s="2"/>
      <c r="E19" s="2"/>
      <c r="F19" s="2"/>
      <c r="G19" s="2"/>
    </row>
    <row r="20" spans="1:7">
      <c r="A20" s="2"/>
      <c r="B20" s="2"/>
      <c r="C20" s="2"/>
      <c r="D20" s="2"/>
      <c r="E20" s="2"/>
      <c r="F20" s="2"/>
      <c r="G20" s="2"/>
    </row>
    <row r="21" spans="1:7">
      <c r="A21" s="2"/>
      <c r="B21" s="2"/>
      <c r="C21" s="2"/>
      <c r="D21" s="2"/>
      <c r="E21" s="2"/>
      <c r="F21" s="2"/>
      <c r="G21" s="2"/>
    </row>
    <row r="22" spans="1:7">
      <c r="A22" s="2"/>
      <c r="B22" s="2"/>
      <c r="C22" s="2"/>
      <c r="D22" s="2"/>
      <c r="E22" s="2"/>
      <c r="F22" s="2"/>
      <c r="G22" s="2"/>
    </row>
    <row r="23" spans="1:7">
      <c r="A23" s="2"/>
      <c r="B23" s="2"/>
      <c r="C23" s="2"/>
      <c r="D23" s="2"/>
      <c r="E23" s="2"/>
      <c r="F23" s="2"/>
      <c r="G23" s="2"/>
    </row>
    <row r="24" spans="1:7">
      <c r="A24" s="2"/>
      <c r="B24" s="2"/>
      <c r="C24" s="2"/>
      <c r="D24" s="2"/>
      <c r="E24" s="2"/>
      <c r="F24" s="2"/>
      <c r="G24" s="2"/>
    </row>
    <row r="25" spans="1:7">
      <c r="A25" s="2"/>
      <c r="B25" s="2"/>
      <c r="C25" s="2"/>
      <c r="D25" s="2"/>
      <c r="E25" s="2"/>
      <c r="F25" s="2"/>
      <c r="G25" s="2"/>
    </row>
    <row r="26" spans="1:7">
      <c r="A26" s="2"/>
      <c r="B26" s="2"/>
      <c r="C26" s="2"/>
      <c r="D26" s="2"/>
      <c r="E26" s="2"/>
      <c r="F26" s="2"/>
      <c r="G26" s="2"/>
    </row>
    <row r="27" spans="1:7">
      <c r="A27" s="2"/>
      <c r="B27" s="2"/>
      <c r="C27" s="2"/>
      <c r="D27" s="2"/>
      <c r="E27" s="2"/>
      <c r="F27" s="2"/>
      <c r="G27" s="2"/>
    </row>
    <row r="28" spans="1:7">
      <c r="A28" s="2"/>
      <c r="B28" s="2"/>
      <c r="C28" s="2"/>
      <c r="D28" s="2"/>
      <c r="E28" s="2"/>
      <c r="F28" s="2"/>
      <c r="G28" s="2"/>
    </row>
  </sheetData>
  <sheetProtection password="CA93" sheet="1" objects="1" scenarios="1"/>
  <pageMargins left="0.78740157499999996" right="0.78740157499999996" top="0.984251969" bottom="0.984251969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7</vt:i4>
      </vt:variant>
      <vt:variant>
        <vt:lpstr>Diagramme</vt:lpstr>
      </vt:variant>
      <vt:variant>
        <vt:i4>2</vt:i4>
      </vt:variant>
      <vt:variant>
        <vt:lpstr>Benannte Bereiche</vt:lpstr>
      </vt:variant>
      <vt:variant>
        <vt:i4>239</vt:i4>
      </vt:variant>
    </vt:vector>
  </HeadingPairs>
  <TitlesOfParts>
    <vt:vector size="248" baseType="lpstr">
      <vt:lpstr>Anleitung</vt:lpstr>
      <vt:lpstr>Konstante</vt:lpstr>
      <vt:lpstr>Elementarteilchen</vt:lpstr>
      <vt:lpstr>Tabellen</vt:lpstr>
      <vt:lpstr>Vergleich</vt:lpstr>
      <vt:lpstr>Changelog</vt:lpstr>
      <vt:lpstr>Koeffizientenmatrix Aik 1982</vt:lpstr>
      <vt:lpstr>Massen-Vergleich</vt:lpstr>
      <vt:lpstr>Lebenszeiten-Vergleich</vt:lpstr>
      <vt:lpstr>_alf1</vt:lpstr>
      <vt:lpstr>_alf2</vt:lpstr>
      <vt:lpstr>_alf3</vt:lpstr>
      <vt:lpstr>_c</vt:lpstr>
      <vt:lpstr>_eta01</vt:lpstr>
      <vt:lpstr>_eta1</vt:lpstr>
      <vt:lpstr>_eta11</vt:lpstr>
      <vt:lpstr>_eta12</vt:lpstr>
      <vt:lpstr>_eta21</vt:lpstr>
      <vt:lpstr>_eta22</vt:lpstr>
      <vt:lpstr>_NN1</vt:lpstr>
      <vt:lpstr>_NN2</vt:lpstr>
      <vt:lpstr>_NN3</vt:lpstr>
      <vt:lpstr>_NN4</vt:lpstr>
      <vt:lpstr>_NN5</vt:lpstr>
      <vt:lpstr>_NN6</vt:lpstr>
      <vt:lpstr>_wx1</vt:lpstr>
      <vt:lpstr>_wx2</vt:lpstr>
      <vt:lpstr>A</vt:lpstr>
      <vt:lpstr>a..1</vt:lpstr>
      <vt:lpstr>a..2</vt:lpstr>
      <vt:lpstr>a..3</vt:lpstr>
      <vt:lpstr>a.1</vt:lpstr>
      <vt:lpstr>a.11</vt:lpstr>
      <vt:lpstr>a.12</vt:lpstr>
      <vt:lpstr>a.13</vt:lpstr>
      <vt:lpstr>a.14</vt:lpstr>
      <vt:lpstr>a.15</vt:lpstr>
      <vt:lpstr>a.16</vt:lpstr>
      <vt:lpstr>a.2</vt:lpstr>
      <vt:lpstr>a.21</vt:lpstr>
      <vt:lpstr>a.22</vt:lpstr>
      <vt:lpstr>a.23</vt:lpstr>
      <vt:lpstr>a.24</vt:lpstr>
      <vt:lpstr>a.25</vt:lpstr>
      <vt:lpstr>a.26</vt:lpstr>
      <vt:lpstr>a.3</vt:lpstr>
      <vt:lpstr>a.31</vt:lpstr>
      <vt:lpstr>a.32</vt:lpstr>
      <vt:lpstr>a.33</vt:lpstr>
      <vt:lpstr>a.34</vt:lpstr>
      <vt:lpstr>a.35</vt:lpstr>
      <vt:lpstr>a.36</vt:lpstr>
      <vt:lpstr>a.389</vt:lpstr>
      <vt:lpstr>a.41</vt:lpstr>
      <vt:lpstr>a.42</vt:lpstr>
      <vt:lpstr>a.43</vt:lpstr>
      <vt:lpstr>a.44</vt:lpstr>
      <vt:lpstr>a.45</vt:lpstr>
      <vt:lpstr>a.46</vt:lpstr>
      <vt:lpstr>a.51</vt:lpstr>
      <vt:lpstr>a.52</vt:lpstr>
      <vt:lpstr>a.53</vt:lpstr>
      <vt:lpstr>a.54</vt:lpstr>
      <vt:lpstr>a.55</vt:lpstr>
      <vt:lpstr>a.56</vt:lpstr>
      <vt:lpstr>a.61</vt:lpstr>
      <vt:lpstr>a.62</vt:lpstr>
      <vt:lpstr>a.63</vt:lpstr>
      <vt:lpstr>a.64</vt:lpstr>
      <vt:lpstr>a.65</vt:lpstr>
      <vt:lpstr>a.66</vt:lpstr>
      <vt:lpstr>A.n</vt:lpstr>
      <vt:lpstr>a1.10</vt:lpstr>
      <vt:lpstr>a1.11</vt:lpstr>
      <vt:lpstr>a1.12</vt:lpstr>
      <vt:lpstr>a2.20</vt:lpstr>
      <vt:lpstr>a2.21</vt:lpstr>
      <vt:lpstr>a2.22</vt:lpstr>
      <vt:lpstr>a2.221</vt:lpstr>
      <vt:lpstr>a2.222</vt:lpstr>
      <vt:lpstr>a2.223</vt:lpstr>
      <vt:lpstr>ag</vt:lpstr>
      <vt:lpstr>agx</vt:lpstr>
      <vt:lpstr>alf3o</vt:lpstr>
      <vt:lpstr>alfa</vt:lpstr>
      <vt:lpstr>alfm</vt:lpstr>
      <vt:lpstr>alfmn</vt:lpstr>
      <vt:lpstr>alfp</vt:lpstr>
      <vt:lpstr>alfpn</vt:lpstr>
      <vt:lpstr>amu</vt:lpstr>
      <vt:lpstr>an</vt:lpstr>
      <vt:lpstr>aq</vt:lpstr>
      <vt:lpstr>B</vt:lpstr>
      <vt:lpstr>b.1</vt:lpstr>
      <vt:lpstr>b.2</vt:lpstr>
      <vt:lpstr>beta</vt:lpstr>
      <vt:lpstr>beta0</vt:lpstr>
      <vt:lpstr>bg</vt:lpstr>
      <vt:lpstr>bgx</vt:lpstr>
      <vt:lpstr>C.</vt:lpstr>
      <vt:lpstr>cs</vt:lpstr>
      <vt:lpstr>D</vt:lpstr>
      <vt:lpstr>da</vt:lpstr>
      <vt:lpstr>da.89</vt:lpstr>
      <vt:lpstr>deltaN</vt:lpstr>
      <vt:lpstr>e0</vt:lpstr>
      <vt:lpstr>ebn</vt:lpstr>
      <vt:lpstr>Elementarteilchen!eps</vt:lpstr>
      <vt:lpstr>epsp</vt:lpstr>
      <vt:lpstr>epsq</vt:lpstr>
      <vt:lpstr>eta</vt:lpstr>
      <vt:lpstr>eta1k</vt:lpstr>
      <vt:lpstr>etaq1</vt:lpstr>
      <vt:lpstr>etaqk</vt:lpstr>
      <vt:lpstr>F</vt:lpstr>
      <vt:lpstr>fakMeV</vt:lpstr>
      <vt:lpstr>Fi</vt:lpstr>
      <vt:lpstr>fi.</vt:lpstr>
      <vt:lpstr>fik</vt:lpstr>
      <vt:lpstr>fn</vt:lpstr>
      <vt:lpstr>fn.89</vt:lpstr>
      <vt:lpstr>g</vt:lpstr>
      <vt:lpstr>gamma</vt:lpstr>
      <vt:lpstr>gkq</vt:lpstr>
      <vt:lpstr>H</vt:lpstr>
      <vt:lpstr>hq</vt:lpstr>
      <vt:lpstr>is</vt:lpstr>
      <vt:lpstr>k</vt:lpstr>
      <vt:lpstr>k.1</vt:lpstr>
      <vt:lpstr>k.2</vt:lpstr>
      <vt:lpstr>k.3</vt:lpstr>
      <vt:lpstr>k.3v</vt:lpstr>
      <vt:lpstr>k.4</vt:lpstr>
      <vt:lpstr>k.4v</vt:lpstr>
      <vt:lpstr>k.m</vt:lpstr>
      <vt:lpstr>k.n</vt:lpstr>
      <vt:lpstr>k.p</vt:lpstr>
      <vt:lpstr>k.sigv</vt:lpstr>
      <vt:lpstr>kappa</vt:lpstr>
      <vt:lpstr>kgh</vt:lpstr>
      <vt:lpstr>kghfig</vt:lpstr>
      <vt:lpstr>kghfig89</vt:lpstr>
      <vt:lpstr>kq</vt:lpstr>
      <vt:lpstr>L</vt:lpstr>
      <vt:lpstr>L.1</vt:lpstr>
      <vt:lpstr>L.189</vt:lpstr>
      <vt:lpstr>L.2</vt:lpstr>
      <vt:lpstr>L.289</vt:lpstr>
      <vt:lpstr>L.3</vt:lpstr>
      <vt:lpstr>L.389</vt:lpstr>
      <vt:lpstr>L.4</vt:lpstr>
      <vt:lpstr>L.489</vt:lpstr>
      <vt:lpstr>Lsigma</vt:lpstr>
      <vt:lpstr>mass89</vt:lpstr>
      <vt:lpstr>mFin</vt:lpstr>
      <vt:lpstr>mFn</vt:lpstr>
      <vt:lpstr>mG</vt:lpstr>
      <vt:lpstr>mGn</vt:lpstr>
      <vt:lpstr>mH</vt:lpstr>
      <vt:lpstr>mK</vt:lpstr>
      <vt:lpstr>mSn</vt:lpstr>
      <vt:lpstr>my0</vt:lpstr>
      <vt:lpstr>N</vt:lpstr>
      <vt:lpstr>n.1</vt:lpstr>
      <vt:lpstr>n.2</vt:lpstr>
      <vt:lpstr>n.3</vt:lpstr>
      <vt:lpstr>n.3v</vt:lpstr>
      <vt:lpstr>n.4</vt:lpstr>
      <vt:lpstr>n.4v</vt:lpstr>
      <vt:lpstr>N.k</vt:lpstr>
      <vt:lpstr>n.m</vt:lpstr>
      <vt:lpstr>n.n</vt:lpstr>
      <vt:lpstr>n.p</vt:lpstr>
      <vt:lpstr>n.sigma</vt:lpstr>
      <vt:lpstr>Nk</vt:lpstr>
      <vt:lpstr>OffsetK</vt:lpstr>
      <vt:lpstr>OffsetN3</vt:lpstr>
      <vt:lpstr>P</vt:lpstr>
      <vt:lpstr>P..2</vt:lpstr>
      <vt:lpstr>P..3</vt:lpstr>
      <vt:lpstr>pi</vt:lpstr>
      <vt:lpstr>Q</vt:lpstr>
      <vt:lpstr>Q..3</vt:lpstr>
      <vt:lpstr>q.1</vt:lpstr>
      <vt:lpstr>q.2</vt:lpstr>
      <vt:lpstr>q.3</vt:lpstr>
      <vt:lpstr>q.4</vt:lpstr>
      <vt:lpstr>qa</vt:lpstr>
      <vt:lpstr>qx</vt:lpstr>
      <vt:lpstr>ra</vt:lpstr>
      <vt:lpstr>ra.89</vt:lpstr>
      <vt:lpstr>Rg</vt:lpstr>
      <vt:lpstr>s.</vt:lpstr>
      <vt:lpstr>s0</vt:lpstr>
      <vt:lpstr>sa</vt:lpstr>
      <vt:lpstr>sa.89</vt:lpstr>
      <vt:lpstr>ta</vt:lpstr>
      <vt:lpstr>ta.89</vt:lpstr>
      <vt:lpstr>Table1</vt:lpstr>
      <vt:lpstr>Table10</vt:lpstr>
      <vt:lpstr>Table11</vt:lpstr>
      <vt:lpstr>Table1c</vt:lpstr>
      <vt:lpstr>Table1d</vt:lpstr>
      <vt:lpstr>Table2</vt:lpstr>
      <vt:lpstr>Table4</vt:lpstr>
      <vt:lpstr>Table5</vt:lpstr>
      <vt:lpstr>table6</vt:lpstr>
      <vt:lpstr>Table7</vt:lpstr>
      <vt:lpstr>Table8</vt:lpstr>
      <vt:lpstr>Table9</vt:lpstr>
      <vt:lpstr>TableEmp</vt:lpstr>
      <vt:lpstr>TableEmpCODATA2014</vt:lpstr>
      <vt:lpstr>TableEmpTimes</vt:lpstr>
      <vt:lpstr>TableGamma</vt:lpstr>
      <vt:lpstr>temp1</vt:lpstr>
      <vt:lpstr>temp189</vt:lpstr>
      <vt:lpstr>temp2</vt:lpstr>
      <vt:lpstr>theta</vt:lpstr>
      <vt:lpstr>theta11</vt:lpstr>
      <vt:lpstr>theta12</vt:lpstr>
      <vt:lpstr>theta22</vt:lpstr>
      <vt:lpstr>thetaq1</vt:lpstr>
      <vt:lpstr>u</vt:lpstr>
      <vt:lpstr>U.</vt:lpstr>
      <vt:lpstr>w.1</vt:lpstr>
      <vt:lpstr>w.2</vt:lpstr>
      <vt:lpstr>w.3</vt:lpstr>
      <vt:lpstr>w.4</vt:lpstr>
      <vt:lpstr>wgx</vt:lpstr>
      <vt:lpstr>wgxk</vt:lpstr>
      <vt:lpstr>WN.0</vt:lpstr>
      <vt:lpstr>wn.0N</vt:lpstr>
      <vt:lpstr>wn.1</vt:lpstr>
      <vt:lpstr>wn.2</vt:lpstr>
      <vt:lpstr>wn.3</vt:lpstr>
      <vt:lpstr>x</vt:lpstr>
      <vt:lpstr>X.</vt:lpstr>
      <vt:lpstr>x..</vt:lpstr>
      <vt:lpstr>xi</vt:lpstr>
      <vt:lpstr>y</vt:lpstr>
      <vt:lpstr>y.</vt:lpstr>
      <vt:lpstr>y.1</vt:lpstr>
      <vt:lpstr>y.2</vt:lpstr>
      <vt:lpstr>y.20</vt:lpstr>
      <vt:lpstr>y.21</vt:lpstr>
      <vt:lpstr>y.22</vt:lpstr>
      <vt:lpstr>y.23</vt:lpstr>
      <vt:lpstr>z.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Heim Massenformel</dc:title>
  <dc:creator>Olaf Posdzech</dc:creator>
  <dc:description>Einheitliche Massenformel der Elementarteilchen nach Burkhard Heim (Stand von 1982).</dc:description>
  <cp:lastModifiedBy>user</cp:lastModifiedBy>
  <dcterms:created xsi:type="dcterms:W3CDTF">2006-02-24T12:48:29Z</dcterms:created>
  <dcterms:modified xsi:type="dcterms:W3CDTF">2019-04-14T21:46:22Z</dcterms:modified>
</cp:coreProperties>
</file>